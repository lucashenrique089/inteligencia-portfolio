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MARKETING 2026\E-COMMERCE\Controle de pedidos Ecommerce e estoque\Análise de concorrencia e-commerce\"/>
    </mc:Choice>
  </mc:AlternateContent>
  <xr:revisionPtr revIDLastSave="0" documentId="13_ncr:1_{1B04F0C2-1241-4E05-AFE4-9F1B0949841D}" xr6:coauthVersionLast="47" xr6:coauthVersionMax="47" xr10:uidLastSave="{00000000-0000-0000-0000-000000000000}"/>
  <bookViews>
    <workbookView xWindow="20370" yWindow="-120" windowWidth="20730" windowHeight="11160" tabRatio="500" activeTab="2" xr2:uid="{00000000-000D-0000-FFFF-FFFF00000000}"/>
  </bookViews>
  <sheets>
    <sheet name="Como preencher" sheetId="1" r:id="rId1"/>
    <sheet name="Resumo" sheetId="2" r:id="rId2"/>
    <sheet name="Itens" sheetId="3" r:id="rId3"/>
  </sheets>
  <definedNames>
    <definedName name="_xlnm._FilterDatabase" localSheetId="2" hidden="1">Itens!$A$1:$P$73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2" l="1"/>
  <c r="C12" i="2"/>
  <c r="B12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</calcChain>
</file>

<file path=xl/sharedStrings.xml><?xml version="1.0" encoding="utf-8"?>
<sst xmlns="http://schemas.openxmlformats.org/spreadsheetml/2006/main" count="719" uniqueCount="388">
  <si>
    <t>Como preencher</t>
  </si>
  <si>
    <t>1. Colunas em AMARELO (L a O) são para preencher: links da Roma, Pneu Store e Achei Pneus, e o SKU da Achei.</t>
  </si>
  <si>
    <t>2. Os 14 pneus já monitorados vieram preenchidos com os links atuais: use como exemplo do formato.</t>
  </si>
  <si>
    <t>3. URL = endereço completo da página do produto, copiado do navegador (começa com https://).</t>
  </si>
  <si>
    <t>4. SKU Achei = número do produto na Achei Pneus (o painel usa para ler preço e parcelas pela API).</t>
  </si>
  <si>
    <t>5. Pneu que o concorrente não vende: deixe em branco e escreva "não vende" na Observação.</t>
  </si>
  <si>
    <t>6. Produto diferente (outra medida ou desenho): cole o link e escreva "alternativo" na Observação.</t>
  </si>
  <si>
    <t>7. Itens fora do site da Roma: o painel compara só os concorrentes até a Roma cadastrar o pneu.</t>
  </si>
  <si>
    <t>8. Não mude os nomes das colunas: o painel vai ler este arquivo.</t>
  </si>
  <si>
    <t>Resumo da base de itens</t>
  </si>
  <si>
    <t>Varejo</t>
  </si>
  <si>
    <t>Distribuição</t>
  </si>
  <si>
    <t>Total</t>
  </si>
  <si>
    <t>Itens na base</t>
  </si>
  <si>
    <t>No site da Roma</t>
  </si>
  <si>
    <t>Fora do site da Roma</t>
  </si>
  <si>
    <t>Já monitorados hoje</t>
  </si>
  <si>
    <t>Novos a monitorar</t>
  </si>
  <si>
    <t>Pneus vendidos (mai–out)</t>
  </si>
  <si>
    <t>Links preenchidos</t>
  </si>
  <si>
    <t>Roma</t>
  </si>
  <si>
    <t>Pneu Store</t>
  </si>
  <si>
    <t>Achei Pneus</t>
  </si>
  <si>
    <t>Quantidade</t>
  </si>
  <si>
    <t>Fonte: aba "TOP Vendas maio a Out" e aba "Pneus-SIte2" do arquivo Base_de_itens_para_o_site.xlsx, enviado pelo Lucas.</t>
  </si>
  <si>
    <t>ID</t>
  </si>
  <si>
    <t>Canal</t>
  </si>
  <si>
    <t>Posição no canal</t>
  </si>
  <si>
    <t>Produto (base de vendas)</t>
  </si>
  <si>
    <t>Medida</t>
  </si>
  <si>
    <t>Tipo</t>
  </si>
  <si>
    <t>Qtd vendida (mai–out)</t>
  </si>
  <si>
    <t>Já monitorado hoje?</t>
  </si>
  <si>
    <t>No site da Roma?</t>
  </si>
  <si>
    <t>Código Roma</t>
  </si>
  <si>
    <t>Preço no site (R$)</t>
  </si>
  <si>
    <t>URL Roma</t>
  </si>
  <si>
    <t>URL Pneu Store</t>
  </si>
  <si>
    <t>URL Achei Pneus</t>
  </si>
  <si>
    <t>SKU Achei Pneus</t>
  </si>
  <si>
    <t>Observação</t>
  </si>
  <si>
    <t>175/65R14 KELLY EDGE TOURING 2 86H XL</t>
  </si>
  <si>
    <t>175/65R14</t>
  </si>
  <si>
    <t>Passeio</t>
  </si>
  <si>
    <t>Sim</t>
  </si>
  <si>
    <t>https://romapneus.com.br/175-65-r14-edgetouring2</t>
  </si>
  <si>
    <t>https://www.pneustore.com.br/pneu-kelly-by-goodyear-aro-14-edge-touring-2-175-65r14-86h-xl-16007686</t>
  </si>
  <si>
    <t>https://www.acheipneus.com.br/pneu-17565r14-goodyear-kelly-edge-touring-2-86h</t>
  </si>
  <si>
    <t>50564</t>
  </si>
  <si>
    <t>175/65R14 ASSURANCE MAXLIFE 86H XL</t>
  </si>
  <si>
    <t>https://romapneus.com.br/175-65-r14-maxlifeh2</t>
  </si>
  <si>
    <t>https://www.pneustore.com.br/pneu-goodyear-aro-14-assurance-maxlife-175-65r14-86h-xl-10130199</t>
  </si>
  <si>
    <t>https://www.acheipneus.com.br/pneu-175-65r14-goodyear-assurance-maxlife-86h-p994546</t>
  </si>
  <si>
    <t>26397</t>
  </si>
  <si>
    <t>175/70R13 EDGE TOURING 2 82T SL</t>
  </si>
  <si>
    <t>175/70R13</t>
  </si>
  <si>
    <t>https://romapneus.com.br/175-70-r13-edgetouring2</t>
  </si>
  <si>
    <t>https://www.pneustore.com.br/pneu-kelly-by-goodyear-aro-13-edge-touring-2-175-70r13-82t-16009113</t>
  </si>
  <si>
    <t>https://www.acheipneus.com.br/pneu-17570r13-goodyear-kelly-edge-touring-2-82t</t>
  </si>
  <si>
    <t>50705</t>
  </si>
  <si>
    <t>205/55R17 WRANGLER TERRITORY HT 91V SL</t>
  </si>
  <si>
    <t>205/55R17</t>
  </si>
  <si>
    <t>SUV / Caminhonete</t>
  </si>
  <si>
    <t>Não</t>
  </si>
  <si>
    <t>Somadas 2 linhas da base (com e sem "F" no nome): mesmo código no site</t>
  </si>
  <si>
    <t>205/55R16 EAGLE SPORT 2 91V SL</t>
  </si>
  <si>
    <t>205/55R16</t>
  </si>
  <si>
    <t>185/60R15 EDGE SPORT 2 88H XL</t>
  </si>
  <si>
    <t>185/60R15</t>
  </si>
  <si>
    <t>https://romapneus.com.br/185-60r15-edge-sport-2-88h-xl</t>
  </si>
  <si>
    <t>https://www.pneustore.com.br/pneu-kelly-by-goodyear-aro-15-edge-sport-2-185-60r15-88h-xl-16015387</t>
  </si>
  <si>
    <t>https://www.acheipneus.com.br/pneu-18560r15-goodyear-kelly-edge-sport-2-88h</t>
  </si>
  <si>
    <t>59684</t>
  </si>
  <si>
    <t>205/65R16 EFFICIENTGRIP SUV 95H SL</t>
  </si>
  <si>
    <t>205/65R16</t>
  </si>
  <si>
    <t>https://romapneus.com.br/205-65-r16-efficientgripsuv2</t>
  </si>
  <si>
    <t>https://www.pneustore.com.br/pneu-goodyear-aro-16-efficientgrip-suv-205-65r16-95h-16001154</t>
  </si>
  <si>
    <t>https://www.acheipneus.com.br/pneu-205-65-r16-efficientgrip-suv-95h-goodyear-original-hyundai-creta-p988568</t>
  </si>
  <si>
    <t>2042</t>
  </si>
  <si>
    <t>215/55R17 94V EFFIGRIP SUV SL</t>
  </si>
  <si>
    <t>215/55R17</t>
  </si>
  <si>
    <t>https://romapneus.com.br/215-55r17-94v-effigrip-suv-sl</t>
  </si>
  <si>
    <t>https://www.pneustore.com.br/pneu-goodyear-aro-17-efficientgrip-suv-215-55r17-94v-16017792</t>
  </si>
  <si>
    <t>https://www.acheipneus.com.br/pneu-215-55r17-efficientgrip-suv-goodyear-94v-p989035</t>
  </si>
  <si>
    <t>20303</t>
  </si>
  <si>
    <t>185/60R15 EAGLE SPORT 2 88H XL</t>
  </si>
  <si>
    <t>185/65R15 EAGLE SPORT 2 88H SL</t>
  </si>
  <si>
    <t>185/65R15</t>
  </si>
  <si>
    <t>215/60R17 EFFICIENTGRIP SUV 96H SL</t>
  </si>
  <si>
    <t>215/60R17</t>
  </si>
  <si>
    <t>175/70R14 ASSURANCE MAXLIFE 88T XL</t>
  </si>
  <si>
    <t>175/70R14</t>
  </si>
  <si>
    <t>195/55R16 EFFICIENTGRIP PERFORMANCE 91V XL</t>
  </si>
  <si>
    <t>195/55R16</t>
  </si>
  <si>
    <t>https://romapneus.com.br/195-55-r16-efficientgripperformance1</t>
  </si>
  <si>
    <t>https://www.pneustore.com.br/pneu-goodyear-aro-16-efficientgrip-performance-195-55r16-91v-xl-16004185</t>
  </si>
  <si>
    <t>https://www.acheipneus.com.br/pneu-195-55-r16-efficientgrip-performance-91v-goodyear-p988638</t>
  </si>
  <si>
    <t>5233</t>
  </si>
  <si>
    <t>175/70R14 KELLY EDGE TOURING 2 88T XL</t>
  </si>
  <si>
    <t>https://romapneus.com.br/175-70-r14-edgetouring2</t>
  </si>
  <si>
    <t>https://www.pneustore.com.br/pneu-kelly-by-goodyear-aro-14-edge-touring-2-175-70r14-88t-xl-16009114</t>
  </si>
  <si>
    <t>https://www.acheipneus.com.br/pneu-17570r14-goodyear-kelly-edge-touring-2-88t</t>
  </si>
  <si>
    <t>50473</t>
  </si>
  <si>
    <t>205/60R16 WRANGLER TERRITORY HT 92H SL</t>
  </si>
  <si>
    <t>205/60R16</t>
  </si>
  <si>
    <t>185/65R15 EDGE SPORT 2 88H SL</t>
  </si>
  <si>
    <t>https://romapneus.com.br/185-65r15-edge-sport-2-88h-sl</t>
  </si>
  <si>
    <t>https://www.pneustore.com.br/pneu-kelly-by-goodyear-aro-15-edge-sport-2-185-65r15-88h-16015386</t>
  </si>
  <si>
    <t>https://www.acheipneus.com.br/pneu-18565r15-goodyear-kelly-edge-sport-2-88h</t>
  </si>
  <si>
    <t>59686</t>
  </si>
  <si>
    <t>205/55R16 EDGE SPORT 2 91V SL</t>
  </si>
  <si>
    <t>https://romapneus.com.br/205-55-r16-edgesport2</t>
  </si>
  <si>
    <t>https://www.pneustore.com.br/pneu-kelly-by-goodyear-aro-16-edge-sport-2-205-55r16-91v-16009120</t>
  </si>
  <si>
    <t>https://www.acheipneus.com.br/pneu-20555r16-goodyear-kelly-edge-sport-2-91v</t>
  </si>
  <si>
    <t>50568</t>
  </si>
  <si>
    <t>165/70R13 EDGE TOURING 2 83T XL</t>
  </si>
  <si>
    <t>165/70R13</t>
  </si>
  <si>
    <t>185/60R15 EFFICIENTGRIP PERF 88H XL</t>
  </si>
  <si>
    <t>195/55R15 EDGE SPORT 2 85H SL</t>
  </si>
  <si>
    <t>195/55R15</t>
  </si>
  <si>
    <t>195/65R15 EAGLE SPORT 2 91V SL</t>
  </si>
  <si>
    <t>195/65R15</t>
  </si>
  <si>
    <t>185/70R14 EDGE TOURING 2 88H SL</t>
  </si>
  <si>
    <t>185/70R14</t>
  </si>
  <si>
    <t>195/65R15 EDGE SPORT 2 91V SL</t>
  </si>
  <si>
    <t>https://romapneus.com.br/195-65r15-edge-sport-2-91v-sl</t>
  </si>
  <si>
    <t>https://www.pneustore.com.br/pneu-kelly-by-goodyear-aro-15-edge-sport-2-195-65r15-91v-16015388</t>
  </si>
  <si>
    <t>https://www.acheipneus.com.br/pneu-19565r15-goodyearkelly-edge-sport-2-91v</t>
  </si>
  <si>
    <t>59687</t>
  </si>
  <si>
    <t>225/55R18 WRL FORTITUDE HT 98V SL</t>
  </si>
  <si>
    <t>225/55R18</t>
  </si>
  <si>
    <t>175/70R13 ASSURANCE MAXLIFE 82T SL</t>
  </si>
  <si>
    <t>https://romapneus.com.br/175-70-r13-assurancemaxlife2</t>
  </si>
  <si>
    <t>https://www.pneustore.com.br/pneu-goodyear-aro-13-assurance-maxlife-175-70r13-82t-10130198</t>
  </si>
  <si>
    <t>https://www.acheipneus.com.br/pneu-175-70r13-goodyear-assurance-maxlife-82t-p994549</t>
  </si>
  <si>
    <t>26497</t>
  </si>
  <si>
    <t>205/45R18 EAGLE TOURING 86V SL</t>
  </si>
  <si>
    <t>205/45R18</t>
  </si>
  <si>
    <t>195/55R15 EAGLE SPORT 2 85H SL</t>
  </si>
  <si>
    <t>215/65R16 WRANGLER FORTITUDE HT 102H XL</t>
  </si>
  <si>
    <t>215/65R16</t>
  </si>
  <si>
    <t>175/65R15 EDGE SPORT 2 84T SL</t>
  </si>
  <si>
    <t>175/65R15</t>
  </si>
  <si>
    <t>215/50R17 EFFIGRIP PERF 91V HO</t>
  </si>
  <si>
    <t>215/50R17</t>
  </si>
  <si>
    <t>Não está no site da Roma</t>
  </si>
  <si>
    <t>225/60R18 WRL FORTITUDE HT 104H XL</t>
  </si>
  <si>
    <t>225/60R18</t>
  </si>
  <si>
    <t>205/60R15 EFFICIENTGRIP PERFORM 91H</t>
  </si>
  <si>
    <t>205/60R15</t>
  </si>
  <si>
    <t>225/55R18 EFFICIENTGRIP SUV 98V SL</t>
  </si>
  <si>
    <t>185/55R16 EAGLE SPORT 2 83V SL</t>
  </si>
  <si>
    <t>185/55R16</t>
  </si>
  <si>
    <t>185/65R15 EAGLE TOURING 88H SL DS BC70</t>
  </si>
  <si>
    <t>Base diz "DS BC70"; no site está como "EAGLE TOURING SL": confirmar se é o mesmo</t>
  </si>
  <si>
    <t>195/55R15 EFFICIENTGRIP PERF 85H SL</t>
  </si>
  <si>
    <t>235/45R19 WRANGLER TERRITORY VW 95V SL</t>
  </si>
  <si>
    <t>235/45R19</t>
  </si>
  <si>
    <t>195/65R15 EFFICIENTGRIP PERFORMANCE 91H SL FP</t>
  </si>
  <si>
    <t>205/50R17 EAGLE TOURING 89V SL</t>
  </si>
  <si>
    <t>205/50R17</t>
  </si>
  <si>
    <t>175/70R14 EFFICIENTGRIP PERFORMAN 88T XL</t>
  </si>
  <si>
    <t>225/75R16C CARGO MARATHON 2 118/116R E</t>
  </si>
  <si>
    <t>225/75R16C</t>
  </si>
  <si>
    <t>Utilitário</t>
  </si>
  <si>
    <t>https://romapneus.com.br/225-75-r16c-cargomarathon2</t>
  </si>
  <si>
    <t>https://www.pneustore.com.br/pneu-goodyear-aro-16-cargo-marathon-2-225-75r16c-118r-10-lonas-9070029</t>
  </si>
  <si>
    <t>https://www.acheipneus.com.br/pneu-22575r16-goodyear-cargo-marathon-3-118116r</t>
  </si>
  <si>
    <t>64045</t>
  </si>
  <si>
    <t>215/55R18 WRANGLER TERRITORY VW 95V SL</t>
  </si>
  <si>
    <t>215/55R18</t>
  </si>
  <si>
    <t>165/70R14 ASSURANCE MAXLIFE 85T XL</t>
  </si>
  <si>
    <t>165/70R14</t>
  </si>
  <si>
    <t>215/50R17 EAGLE SPORT 2 91V SL</t>
  </si>
  <si>
    <t>205/70R15C CARGO MARATHON 2 106/104R D</t>
  </si>
  <si>
    <t>205/70R15C</t>
  </si>
  <si>
    <t>185/55R16 EFFICIENTGRIP PERFORMANCE 83V</t>
  </si>
  <si>
    <t>185/65R14 EDGE TOURING 2 86H SL</t>
  </si>
  <si>
    <t>185/65R14</t>
  </si>
  <si>
    <t>215/45R18 EAGLE F1 ASYMMETRIC 6 93V XL</t>
  </si>
  <si>
    <t>215/45R18</t>
  </si>
  <si>
    <t>225/50R17 EAGLE SPORT 2 94V SL</t>
  </si>
  <si>
    <t>225/50R17</t>
  </si>
  <si>
    <t>225/45R17 EDGE SPORT 2 91W SL</t>
  </si>
  <si>
    <t>225/45R17</t>
  </si>
  <si>
    <t>https://romapneus.com.br/225-45-r17-edgesport2</t>
  </si>
  <si>
    <t>https://www.pneustore.com.br/pneu-kelly-by-goodyear-aro-17-edge-sport-2-225-45r17-91w-16009127</t>
  </si>
  <si>
    <t>https://www.acheipneus.com.br/pneu-22545r17-goodyear-kelly-edge-sport-2-91w</t>
  </si>
  <si>
    <t>51820</t>
  </si>
  <si>
    <t>185/70R14 ASSURANCE MAXLIFE 88H SL</t>
  </si>
  <si>
    <t>185/65R14 ASSURANCE MAXLIFE 86H SL</t>
  </si>
  <si>
    <t>225/65R16C G32 CARGO 112/110R D SL</t>
  </si>
  <si>
    <t>225/65R16C</t>
  </si>
  <si>
    <t>195/60R15 KELLY EDGE SPORT 2 88V SL</t>
  </si>
  <si>
    <t>195/60R15</t>
  </si>
  <si>
    <t>225/45R17 EFFICIENTGRIP PERF 94W XL</t>
  </si>
  <si>
    <t>195/60R16 EAGLE TOURING 89H FCA</t>
  </si>
  <si>
    <t>195/60R16</t>
  </si>
  <si>
    <t>195/55R16 EAGLE SPORT 2 91V XL</t>
  </si>
  <si>
    <t>225/45R17 EAGLE SPORT 2 94W XL</t>
  </si>
  <si>
    <t>Não está no site da Roma; Mesmo pneu aparece no Varejo e na Distribuição (BC74)</t>
  </si>
  <si>
    <t>235/60R16 WRANGLER FORTITUDE HT 100H SL</t>
  </si>
  <si>
    <t>235/60R16</t>
  </si>
  <si>
    <t>225/75R16C CARGO MARATHON 3 118R E CC72</t>
  </si>
  <si>
    <t>215/75R17.5 REGIONAL RHS 126/124L F</t>
  </si>
  <si>
    <t>215/75R17.5</t>
  </si>
  <si>
    <t>Carga (caminhão/ônibus)</t>
  </si>
  <si>
    <t>Pneu de carga: concorrentes B2C podem não vender; Não está no site da Roma</t>
  </si>
  <si>
    <t>235/65R16C CARGO MARAT 2 121/119R E</t>
  </si>
  <si>
    <t>235/65R16C</t>
  </si>
  <si>
    <t>215/75R17.5 AGS 126/124L F</t>
  </si>
  <si>
    <t>195/70R15C CARGO MARA 2 104/102R D</t>
  </si>
  <si>
    <t>195/70R15C</t>
  </si>
  <si>
    <t>235/60R18 WRANGLER FORTITUDE HT 103V SL</t>
  </si>
  <si>
    <t>235/60R18</t>
  </si>
  <si>
    <t>275/80R22.5 149/146L STM AGS</t>
  </si>
  <si>
    <t>275/80R22.5</t>
  </si>
  <si>
    <t>235/75R17.5 REGIONAL RHS 132/130L H</t>
  </si>
  <si>
    <t>235/75R17.5</t>
  </si>
  <si>
    <t>235/60R16 EDGE SUV 2 100H SL</t>
  </si>
  <si>
    <t>225/45R17 EAGLE SPORT 2 94W XL BC74</t>
  </si>
  <si>
    <t>275/80R22.5 KMAX S GEN-2 149/146L H DC71</t>
  </si>
  <si>
    <t>9.00-20 14L TT PAPALEGUA G8</t>
  </si>
  <si>
    <t>9.00-20</t>
  </si>
  <si>
    <t>235/55R18 EFFICIENTGRIP SUV 104V XL</t>
  </si>
  <si>
    <t>235/55R18</t>
  </si>
  <si>
    <t>https://www.pneustore.com.br/pneu-goodyear-aro-17-wrangler-territory-ht-205-55r17-91v-16004182</t>
  </si>
  <si>
    <t>https://www.acheipneus.com.br/pneu-205-55r17-goodyear-wrangler-territory-ht-91v-p999658</t>
  </si>
  <si>
    <t>https://romapneus.com.br/205-55-r17-wranglerterritory</t>
  </si>
  <si>
    <t>https://www.pneustore.com.br/pneu-goodyear-aro-16-eagle-sport-2-205-55r16-91v-16001418</t>
  </si>
  <si>
    <t>https://www.acheipneus.com.br/pneu-205-55r16-goodyear-eagle-sport-2-91v-p998372</t>
  </si>
  <si>
    <t>https://romapneus.com.br/205-55-r16-eaglesport2</t>
  </si>
  <si>
    <t>https://www.pneustore.com.br/pneu-goodyear-aro-15-eagle-sport-2-185-60r15-88h-xl-16001785</t>
  </si>
  <si>
    <t>https://romapneus.com.br/185-60-r15-eaglesport2</t>
  </si>
  <si>
    <t>https://www.acheipneus.com.br/pneu-185-60r15-goodyear-eagle-sport-2-88h-p999962</t>
  </si>
  <si>
    <t>https://romapneus.com.br/185-65-r15-eaglesport2sl</t>
  </si>
  <si>
    <t>https://www.pneustore.com.br/pneu-goodyear-aro-15-eagle-sport-2-185-65r15-88h-16001786</t>
  </si>
  <si>
    <t>https://www.acheipneus.com.br/pneu-185-65r15-goodyear-eagle-sport-2-88h-p999739</t>
  </si>
  <si>
    <t>https://romapneus.com.br/215-65-r17-efficientgripsuv2</t>
  </si>
  <si>
    <t>https://www.pneustore.com.br/pneu-goodyear-aro-17-efficientgrip-suv-215-60r17-96h-16001153</t>
  </si>
  <si>
    <t>https://www.acheipneus.com.br/pneu-215-60-r17-efficientgrip-suv-goodyear-96h-original-hyundai-creta-asx-p988413</t>
  </si>
  <si>
    <t>https://romapneus.com.br/175-70-r14-assurancemaxlife2</t>
  </si>
  <si>
    <t>https://www.pneustore.com.br/pneu-goodyear-aro-14-assurance-maxlife-175-70r14-88t-xl-10130217</t>
  </si>
  <si>
    <t>https://www.acheipneus.com.br/pneu-175-70r14-goodyear-assurance-maxlife-88t-p995143</t>
  </si>
  <si>
    <t>https://romapneus.com.br/205-60-r16-territoryht2</t>
  </si>
  <si>
    <t>https://romapneus.com.br/225-55-r18-fortitudeht2</t>
  </si>
  <si>
    <t>https://romapneus.com.br/215-65-r16-fortitudeht2</t>
  </si>
  <si>
    <t>https://www.pneustore.com.br/pneu-goodyear-aro-16-wrangler-territory-ht-205-60r16-92h-16010631</t>
  </si>
  <si>
    <t>https://www.acheipneus.com.br/pneu-205-60r16-goodyear-wrangler-territory-ht-92h-p999662</t>
  </si>
  <si>
    <t>https://romapneus.com.br/165-75-r13-edgetouring2</t>
  </si>
  <si>
    <t>https://www.pneustore.com.br/pneu-kelly-by-goodyear-aro-13-edge-touring-2-165-70r13-83t-xl-16009112</t>
  </si>
  <si>
    <t>https://www.acheipneus.com.br/pneu-16570r13-goodyear-kelly-edge-touring-2-83t</t>
  </si>
  <si>
    <t>https://romapneus.com.br/185-60-r15-efficientgripperf2</t>
  </si>
  <si>
    <t>https://romapneus.com.br/195-65-r15-eaglesport2</t>
  </si>
  <si>
    <t>https://romapneus.com.br/185-70-r14-edgetouring2</t>
  </si>
  <si>
    <t>https://romapneus.com.br/205-45-r18-eagletouring2</t>
  </si>
  <si>
    <t>https://romapneus.com.br/195-55-r15-eaglesport2</t>
  </si>
  <si>
    <t>https://romapneus.com.br/175-65-r15-edgesport2</t>
  </si>
  <si>
    <t>https://www.pneustore.com.br/pneu-goodyear-aro-15-efficientgrip-performance-185-60r15-88h-xl-10130112</t>
  </si>
  <si>
    <t>https://www.acheipneus.com.br/pneu-185-60r15-efficientgrip-performance-88h-goodyear-p988162</t>
  </si>
  <si>
    <t>https://romapneus.com.br/185-55-r15-edgesport2</t>
  </si>
  <si>
    <t>https://www.pneustore.com.br/pneu-kelly-by-goodyear-aro-15-edge-sport-2-195-55r15-85h-16009118</t>
  </si>
  <si>
    <t>https://www.acheipneus.com.br/pneu-19555r15-goodyear-kelly-edge-sport-2-85h</t>
  </si>
  <si>
    <t>https://www.pneustore.com.br/pneu-goodyear-aro-15-eagle-sport-2-195-65r15-91v-16001787</t>
  </si>
  <si>
    <t>https://www.acheipneus.com.br/pneu-195-65r15-eagle-sport-2-91v-goodyear-p1000408</t>
  </si>
  <si>
    <t>https://www.pneustore.com.br/pneu-kelly-by-goodyear-aro-14-edge-touring-2-185-70r14-88h-16009284</t>
  </si>
  <si>
    <t>https://www.acheipneus.com.br/pneu-18570r14-goodyear-kelly-edge-touring-2-88h</t>
  </si>
  <si>
    <t>https://www.pneustore.com.br/pneu-goodyear-aro-18-wrangler-fortitude-ht-225-55r18-98v-16018865</t>
  </si>
  <si>
    <t>https://www.acheipneus.com.br/pneu-22555r18-goodyear-wrangler-fortitude-ht-98v</t>
  </si>
  <si>
    <t>https://www.pneustore.com.br/pneu-goodyear-aro-18-eagle-touring-205-45r18-86v-10130221</t>
  </si>
  <si>
    <t>https://www.acheipneus.com.br/pneu-205-45r18-goodyear-eagle-touring-86v-p995395</t>
  </si>
  <si>
    <t>https://www.pneustore.com.br/pneu-goodyear-aro-15-eagle-sport-2-195-55r15-85h-16001419</t>
  </si>
  <si>
    <t>https://www.acheipneus.com.br/pneu-195-55r15-goodyear-eagle-sport-2-85h-p998375</t>
  </si>
  <si>
    <t>https://www.pneustore.com.br/pneu-goodyear-aro-16-wrangler-fortitude-ht-215-65r16-102h-xl-16000524</t>
  </si>
  <si>
    <t>https://www.acheipneus.com.br/pneu-215-65-r16-goodyear-wrangler-fortitude-102h-p996138</t>
  </si>
  <si>
    <t>https://www.pneustore.com.br/pneu-kelly-by-goodyear-aro-15-edge-sport-2-175-65r15-84t-16009126</t>
  </si>
  <si>
    <t>https://www.acheipneus.com.br/pneu-17565r15-goodyear-kelly-edge-sport-2-84t</t>
  </si>
  <si>
    <t>https://romapneus.com.br/215-50r17-effigrip-perf-91v-ho</t>
  </si>
  <si>
    <t>https://www.pneustore.com.br/pneu-goodyear-aro-17-efficientgrip-performance-215-50r17-91v-16007242</t>
  </si>
  <si>
    <t>https://www.acheipneus.com.br/pneu-215-50-r17-efficientgrip-performance-goodyear-91v-original-honda-civic-p988315</t>
  </si>
  <si>
    <t>https://romapneus.com.br/225-65-r18-fortitudeht2</t>
  </si>
  <si>
    <t>https://www.pneustore.com.br/pneu-goodyear-aro-18-wrangler-fortitude-ht-225-60r18-104h-xl-16009132</t>
  </si>
  <si>
    <t>https://www.acheipneus.com.br/pneu-22560r18-goodyear-wrangler-fortitude-ht-104h</t>
  </si>
  <si>
    <t>https://romapneus.com.br/185-60-r15-efficientgrip2</t>
  </si>
  <si>
    <t>https://www.pneustore.com.br/pneu-goodyear-aro-15-efficientgrip-performance-205-60r15-91h-16037538</t>
  </si>
  <si>
    <t>https://www.acheipneus.com.br/pneu-205-60-r15-efficientgrip-performance-goodyear-91h-crossfox-saveiro-cross-p988280</t>
  </si>
  <si>
    <t>https://romapneus.com.br/225-55-r18-efficientgripsuv2</t>
  </si>
  <si>
    <t>https://romapneus.com.br/185-55-r16-eaglesport1</t>
  </si>
  <si>
    <t>https://www.pneustore.com.br/pneu-goodyear-aro-18-efficientgrip-suv-225-55r18-98v-10130193</t>
  </si>
  <si>
    <t>https://www.acheipneus.com.br/pneu-225-55r18-efficientgrip-suv-98h-goodyear-ix35-p987742</t>
  </si>
  <si>
    <t>https://www.pneustore.com.br/pneu-goodyear-aro-16-eagle-sport-2-185-55r16-83v-16001789</t>
  </si>
  <si>
    <t>https://www.acheipneus.com.br/pneu-185-55r16-goodyear-eagle-sport-2-83v-p1000550</t>
  </si>
  <si>
    <t>https://romapneus.com.br/185-65-r15-eagletouring2</t>
  </si>
  <si>
    <t>https://www.pneustore.com.br/pneu-goodyear-aro-15-eagle-touring-185-65r15-88h-16015122</t>
  </si>
  <si>
    <t>https://www.acheipneus.com.br/pneu-185-65r15-goodyear-eagle-touring-88h-p1001150</t>
  </si>
  <si>
    <t>https://romapneus.com.br/185-55-r15-efficientgripperf2</t>
  </si>
  <si>
    <t>https://www.pneustore.com.br/pneu-goodyear-aro-15-efficientgrip-performance-195-55r15-85h-10130137</t>
  </si>
  <si>
    <t>https://www.acheipneus.com.br/pneu-195-55-r15-efficientgrip-performance-85h-goodyear-original-fox-polo-p988163</t>
  </si>
  <si>
    <t>https://romapneus.com.br/235-45r19-wrangler-territory-vw-95v-sl</t>
  </si>
  <si>
    <t>https://www.acheipneus.com.br/pneu-235-45r19-goodyear-wrangler-territory-95v-p1000635</t>
  </si>
  <si>
    <t>https://www.pneustore.com.br/pneu-goodyear-aro-19-wrangler-territory-ht-235-45r19-95v-16001417</t>
  </si>
  <si>
    <t>https://romapneus.com.br/195-65-r15-performancesl2</t>
  </si>
  <si>
    <t>https://www.acheipneus.com.br/pneu-195-65-r15-efficientgrip-performance-91h-goodyear-p988165</t>
  </si>
  <si>
    <t>https://www.pneustore.com.br/pneu-goodyear-aro-15-efficientgrip-performance-195-65r15-91h-10130127</t>
  </si>
  <si>
    <t>https://romapneus.com.br/205-55-r17-eagletouring2</t>
  </si>
  <si>
    <t>https://www.pneustore.com.br/pneu-goodyear-aro-17-eagle-touring-205-50r17-89v-10130215</t>
  </si>
  <si>
    <t>https://www.acheipneus.com.br/pneu-205-50r17-goodyear-eagle-touring-89v-p995081</t>
  </si>
  <si>
    <t>https://romapneus.com.br/175-70r14-efficientgrip-performan-88t-xl</t>
  </si>
  <si>
    <t>https://www.pneustore.com.br/pneu-goodyear-aro-14-efficientgrip-performance-175-70r14-88t-xl-10130200</t>
  </si>
  <si>
    <t>https://www.acheipneus.com.br/pneu-175-70-r14-goodyear-efficientgrip-performance-88t-p991403</t>
  </si>
  <si>
    <t>https://romapneus.com.br/215-55-r18-territoryvw2</t>
  </si>
  <si>
    <t>https://www.pneustore.com.br/pneu-goodyear-aro-18-wrangler-territory-ht-215-55r18-95v-16000536</t>
  </si>
  <si>
    <t>https://www.acheipneus.com.br/pneu-215-55r18-goodyear-wrangler-territory-ht-95v-p998228</t>
  </si>
  <si>
    <t>https://romapneus.com.br/165-70-r14-assurancemaxlife2</t>
  </si>
  <si>
    <t>https://romapneus.com.br/185-65-r14-edgetouring2</t>
  </si>
  <si>
    <t>https://romapneus.com.br/225-45-r17-efficientgripperf2</t>
  </si>
  <si>
    <t>https://www.pneustore.com.br/pneu-goodyear-aro-14-assurance-maxlife-165-70r14-85t-xl-10130234</t>
  </si>
  <si>
    <t>https://www.acheipneus.com.br/pneu-165-70r14-goodyear-assurance-maxlife-85t-p996849</t>
  </si>
  <si>
    <t>https://romapneus.com.br/215-55-r17-eaglesport2</t>
  </si>
  <si>
    <t>https://www.pneustore.com.br/pneu-goodyear-aro-17-eagle-sport-2-215-50r17-91v-16015486</t>
  </si>
  <si>
    <t>https://www.acheipneus.com.br/pneu-21550r17-goodyear-eagle-sport-2-91v</t>
  </si>
  <si>
    <t>https://romapneus.com.br/205-70r15c-cargo-marathon-2-106-104r-d</t>
  </si>
  <si>
    <t>https://www.pneustore.com.br/pneu-goodyear-aro-15-cargo-marathon-2-205-70r15c-106-104r-10-lonas-10130192</t>
  </si>
  <si>
    <t>https://www.acheipneus.com.br/pneu-205-70r15-goodyear-cargo-marathon-ii-p993835</t>
  </si>
  <si>
    <t>https://romapneus.com.br/185-55-r16-vefficientgrip1</t>
  </si>
  <si>
    <t>https://www.pneustore.com.br/todos?title=Pneu+Goodyear+Aro+16+EfficientGrip+Performance+185%2F55R16+83V&amp;page=1&amp;pageSize=20&amp;sortBy=Relevance</t>
  </si>
  <si>
    <t>https://www.acheipneus.com.br/pneu-185-55r16-efficientgrip-performance-83v-goodyear-original-honda-fit-city-p988395</t>
  </si>
  <si>
    <t>https://www.pneustore.com.br/pneu-kelly-by-goodyear-aro-14-edge-touring-2-185-65r14-86h-16009116</t>
  </si>
  <si>
    <t>https://www.acheipneus.com.br/pneu-18565r14-goodyear-kelly-edge-touring-2-86h</t>
  </si>
  <si>
    <t>https://romapneus.com.br/215-45-r18-fasymmetric2</t>
  </si>
  <si>
    <t>https://www.pneustore.com.br/pneu-goodyear-aro-18-eagle-f1-asymmetric-6-215-45r18-93v-xl-16009287</t>
  </si>
  <si>
    <t>https://www.acheipneus.com.br/pneu-21545r18-goodyear-eagle-f1-asymmetric-6-93v</t>
  </si>
  <si>
    <t>https://romapneus.com.br/225-50r17-eagle-sport-2-94v-sl</t>
  </si>
  <si>
    <t>https://romapneus.com.br/225-45r17-eagle-sport-2-94w-xl</t>
  </si>
  <si>
    <t>https://www.pneustore.com.br/pneu-goodyear-aro-17-eagle-sport-2-225-50r17-94v-16001788</t>
  </si>
  <si>
    <t>https://www.acheipneus.com.br/pneu-225-50r17-goodyear-eagle-sport-2-94v-p999733</t>
  </si>
  <si>
    <t>https://www.pneustore.com.br/pneu-goodyear-aro-14-assurance-maxlife-185-70r14-88h-10130229</t>
  </si>
  <si>
    <t>https://www.acheipneus.com.br/pneu-185-70-r14-assurance-maxlife-88h-achei-pneus-p995730</t>
  </si>
  <si>
    <t>https://www.pneustore.com.br/pneu-goodyear-aro-14-assurance-maxlife-185-65r14-86h-10130227</t>
  </si>
  <si>
    <t>https://www.acheipneus.com.br/pneu-185-65r14-goodyear-assurance-maxlife-86h-p998320</t>
  </si>
  <si>
    <t>https://www.pneustore.com.br/pneu-goodyear-aro-16-g32-cargo-225-65r16c-112-110r-8-lonas-10130032</t>
  </si>
  <si>
    <t>https://www.acheipneus.com.br/pneu-225-65r16c-g32-cargo-112r-goodyear-p988177</t>
  </si>
  <si>
    <t>https://romapneus.com.br/185-60-r15-edgesport2</t>
  </si>
  <si>
    <t>https://www.pneustore.com.br/pneu-kelly-by-goodyear-aro-15-edge-sport-2-195-60r15-88v-16009119</t>
  </si>
  <si>
    <t>https://www.acheipneus.com.br/pneu-19560r15-goodyear-kelly-edge-sport-2-88v</t>
  </si>
  <si>
    <t>https://romapneus.com.br/195-60-r16-eagletouring1</t>
  </si>
  <si>
    <t>https://romapneus.com.br/195-55-r16-eaglesport1</t>
  </si>
  <si>
    <t>https://romapneus.com.br/235-60-r16-edgesuv2</t>
  </si>
  <si>
    <t>https://www.pneustore.com.br/pneu-goodyear-aro-17-efficientgrip-performance-225-45r17-94w-xl-10130090</t>
  </si>
  <si>
    <t>https://www.acheipneus.com.br/pneu-225-45-r17-goodyear-efficientgrip-performance-94w-p987739</t>
  </si>
  <si>
    <t>https://www.pneustore.com.br/pneu-goodyear-aro-16-eagle-touring-195-60r16-89h-16001150</t>
  </si>
  <si>
    <t>https://www.acheipneus.com.br/pneu-195-60r16-goodyear-eagle-touring-89h-p998365</t>
  </si>
  <si>
    <t>https://romapneus.com.br/235-55-r18-efficientgripsuv2</t>
  </si>
  <si>
    <t>https://www.pneustore.com.br/pneu-goodyear-aro-16-eagle-sport-2-195-55r16-91v-xl-16002678</t>
  </si>
  <si>
    <t>https://www.pneustore.com.br/pneu-goodyear-aro-17-eagle-sport-2-225-45r17-94w-xl-16015485</t>
  </si>
  <si>
    <t>https://www.acheipneus.com.br/pneu-22545r17-goodyear-eagle-sport-2-94w</t>
  </si>
  <si>
    <t>https://romapneus.com.br/235-60-r16-fortitudeht2</t>
  </si>
  <si>
    <t>https://www.pneustore.com.br/pneu-goodyear-aro-16-wrangler-fortitude-ht-235-60r16-100h-16000526</t>
  </si>
  <si>
    <t>https://www.acheipneus.com.br/pneu-235-60r16-goodyear-wrangler-fortitude-100h-p996415</t>
  </si>
  <si>
    <t>https://www.pneustore.com.br/pneu-goodyear-aro-16-cargo-marathon-3-225-75r16c-118-116r-10-lonas-16037526</t>
  </si>
  <si>
    <t>https://romapneus.com.br/215-75r17-5-regional-rhs-126-124l-f</t>
  </si>
  <si>
    <t>https://www.pneustore.com.br/pneu-goodyear-aro-17-5-regional-rhs-215-75r17-5-126-124l-9070013</t>
  </si>
  <si>
    <t>https://www.pneustore.com.br/pneu-goodyear-aro-16-cargo-marathon-2-235-65r16c-121-119r-10-lonas-16001718</t>
  </si>
  <si>
    <t>https://www.acheipneus.com.br/pneu-235-65r16c-goodyear-cargo-marathon-ii-121-119r-p1000417</t>
  </si>
  <si>
    <t>https://romapneus.com.br/215-75r17-5-ags-126-124l-f</t>
  </si>
  <si>
    <t>https://www.pneustore.com.br/pneu-goodyear-aro-17-5-steelmark-ags-215-75r17-5-126-124l-9070011</t>
  </si>
  <si>
    <t>https://www.acheipneus.com.br/pneu-195-70r15-goodyear-cargo-marathon-ii-104-102r-p993826</t>
  </si>
  <si>
    <t>https://www.pneustore.com.br/pneu-goodyear-aro-15-cargo-marathon-2-195-70r15c-104-102r-10-lonas-16000845</t>
  </si>
  <si>
    <t>https://romapneus.com.br/235-65-r18-fortitudeht2</t>
  </si>
  <si>
    <t>https://www.acheipneus.com.br/pneu-235-60-r18-goodyear-wrangler-fortitude-103v-p996140</t>
  </si>
  <si>
    <t>https://www.pneustore.com.br/pneu-goodyear-aro-18-wrangler-fortitude-ht-235-60r18-103v-16000511</t>
  </si>
  <si>
    <t>https://romapneus.com.br/275-80r22-5-149-146l-stm-ags</t>
  </si>
  <si>
    <t>https://www.pneustore.com.br/pneu-goodyear-aro-22-5-steelmark-ags-275-80r22-5-149-146l-tl-9070006</t>
  </si>
  <si>
    <t>https://romapneus.com.br/235-75r17-5-regional-rhs-132-130l-h</t>
  </si>
  <si>
    <t>https://www.pneustore.com.br/pneu-goodyear-aro-17-5-regional-rhs-235-75r17-5-132-130l-tl-9070026</t>
  </si>
  <si>
    <t>https://www.pneustore.com.br/pneu-kelly-by-goodyear-aro-16-edge-suv-2-235-60r16-100h-16009121</t>
  </si>
  <si>
    <t>https://www.acheipneus.com.br/pneu-23560r16-goodyear-kelly-edge-suv-2-100h</t>
  </si>
  <si>
    <t>https://romapneus.com.br/225-45r17-eagle-sport-2-94w-xl-bc74</t>
  </si>
  <si>
    <t>https://romapneus.com.br/275-80r22-5-kmax-s-gen-2-149-146l-h-dc71</t>
  </si>
  <si>
    <t>https://www.pneustore.com.br/pneu-goodyear-aro-22-5-kmax-d-275-80r22-5-149-146l-9070015</t>
  </si>
  <si>
    <t>https://www.pneustore.com.br/pneu-goodyear-aro-18-efficientgrip-suv-235-55r18-104v-xl-10130208</t>
  </si>
  <si>
    <t>https://www.acheipneus.com.br/pneu-235-55r18-efficientgrip-suv-104v-goodyear-p988678</t>
  </si>
  <si>
    <t>https://romapneus.com.br/185-70r14-assurance-maxlife-88h-sl</t>
  </si>
  <si>
    <t>https://romapneus.com.br/185-65r14-assurance-maxlife-86h-sl</t>
  </si>
  <si>
    <t>https://romapneus.com.br/225-65r16c-g32-cargo-112-110r-d-sl</t>
  </si>
  <si>
    <t>https://romapneus.com.br/225-75r16c-cargo-marathon-3-118r-e-cc72</t>
  </si>
  <si>
    <t>https://romapneus.com.br/235-65r16c-cargo-marat-2-121-119r-e</t>
  </si>
  <si>
    <t>https://romapneus.com.br/195-70r15c-cargo-mara-2-104-102r-d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</si>
</sst>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F6368"/>
      <name val="Arial"/>
      <charset val="1"/>
    </font>
    <font>
      <b/>
      <sz val="11"/>
      <color rgb="FFFFFFFF"/>
      <name val="Arial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40000"/>
        <bgColor rgb="FF800000"/>
      </patternFill>
    </fill>
    <fill>
      <patternFill patternType="solid">
        <fgColor rgb="FFFFF4C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vertical="center" wrapText="1"/>
    </xf>
    <xf numFmtId="0" fontId="4" fillId="0" borderId="1" xfId="0" applyFont="1" applyBorder="1"/>
    <xf numFmtId="4" fontId="4" fillId="0" borderId="1" xfId="0" applyNumberFormat="1" applyFont="1" applyBorder="1"/>
    <xf numFmtId="0" fontId="4" fillId="3" borderId="1" xfId="0" applyFont="1" applyFill="1" applyBorder="1"/>
    <xf numFmtId="0" fontId="7" fillId="3" borderId="1" xfId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4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36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cheipneus.com.br/pneu-225-65r16c-g32-cargo-112r-goodyear-p988177" TargetMode="External"/><Relationship Id="rId21" Type="http://schemas.openxmlformats.org/officeDocument/2006/relationships/hyperlink" Target="https://www.acheipneus.com.br/pneu-205-60r16-goodyear-wrangler-territory-ht-92h-p999662" TargetMode="External"/><Relationship Id="rId42" Type="http://schemas.openxmlformats.org/officeDocument/2006/relationships/hyperlink" Target="https://www.acheipneus.com.br/pneu-205-45r18-goodyear-eagle-touring-86v-p995395" TargetMode="External"/><Relationship Id="rId63" Type="http://schemas.openxmlformats.org/officeDocument/2006/relationships/hyperlink" Target="https://www.pneustore.com.br/pneu-goodyear-aro-15-efficientgrip-performance-205-60r15-91h-16037538" TargetMode="External"/><Relationship Id="rId84" Type="http://schemas.openxmlformats.org/officeDocument/2006/relationships/hyperlink" Target="https://www.acheipneus.com.br/pneu-205-50r17-goodyear-eagle-touring-89v-p995081" TargetMode="External"/><Relationship Id="rId138" Type="http://schemas.openxmlformats.org/officeDocument/2006/relationships/hyperlink" Target="https://www.pneustore.com.br/pneu-goodyear-aro-17-5-regional-rhs-215-75r17-5-126-124l-9070013" TargetMode="External"/><Relationship Id="rId159" Type="http://schemas.openxmlformats.org/officeDocument/2006/relationships/hyperlink" Target="https://www.acheipneus.com.br/pneu-235-55r18-efficientgrip-suv-104v-goodyear-p988678" TargetMode="External"/><Relationship Id="rId107" Type="http://schemas.openxmlformats.org/officeDocument/2006/relationships/hyperlink" Target="https://www.pneustore.com.br/pneu-goodyear-aro-18-eagle-f1-asymmetric-6-215-45r18-93v-xl-16009287" TargetMode="External"/><Relationship Id="rId11" Type="http://schemas.openxmlformats.org/officeDocument/2006/relationships/hyperlink" Target="https://www.pneustore.com.br/pneu-goodyear-aro-15-eagle-sport-2-185-65r15-88h-16001786" TargetMode="External"/><Relationship Id="rId32" Type="http://schemas.openxmlformats.org/officeDocument/2006/relationships/hyperlink" Target="https://www.pneustore.com.br/pneu-goodyear-aro-15-eagle-sport-2-195-65r15-91v-16001787" TargetMode="External"/><Relationship Id="rId53" Type="http://schemas.openxmlformats.org/officeDocument/2006/relationships/hyperlink" Target="https://romapneus.com.br/225-65-r18-fortitudeht2" TargetMode="External"/><Relationship Id="rId74" Type="http://schemas.openxmlformats.org/officeDocument/2006/relationships/hyperlink" Target="https://www.acheipneus.com.br/pneu-195-55-r15-efficientgrip-performance-85h-goodyear-original-fox-polo-p988163" TargetMode="External"/><Relationship Id="rId128" Type="http://schemas.openxmlformats.org/officeDocument/2006/relationships/hyperlink" Target="https://www.acheipneus.com.br/pneu-205-55r16-goodyear-eagle-sport-2-91v-p998372" TargetMode="External"/><Relationship Id="rId149" Type="http://schemas.openxmlformats.org/officeDocument/2006/relationships/hyperlink" Target="https://romapneus.com.br/235-75r17-5-regional-rhs-132-130l-h" TargetMode="External"/><Relationship Id="rId5" Type="http://schemas.openxmlformats.org/officeDocument/2006/relationships/hyperlink" Target="https://www.acheipneus.com.br/pneu-205-55r16-goodyear-eagle-sport-2-91v-p998372" TargetMode="External"/><Relationship Id="rId95" Type="http://schemas.openxmlformats.org/officeDocument/2006/relationships/hyperlink" Target="https://www.pneustore.com.br/pneu-goodyear-aro-17-eagle-sport-2-215-50r17-91v-16015486" TargetMode="External"/><Relationship Id="rId160" Type="http://schemas.openxmlformats.org/officeDocument/2006/relationships/hyperlink" Target="https://romapneus.com.br/185-70r14-assurance-maxlife-88h-sl" TargetMode="External"/><Relationship Id="rId22" Type="http://schemas.openxmlformats.org/officeDocument/2006/relationships/hyperlink" Target="https://romapneus.com.br/165-75-r13-edgetouring2" TargetMode="External"/><Relationship Id="rId43" Type="http://schemas.openxmlformats.org/officeDocument/2006/relationships/hyperlink" Target="https://romapneus.com.br/195-55-r15-eaglesport2" TargetMode="External"/><Relationship Id="rId64" Type="http://schemas.openxmlformats.org/officeDocument/2006/relationships/hyperlink" Target="https://www.acheipneus.com.br/pneu-205-60-r15-efficientgrip-performance-goodyear-91h-crossfox-saveiro-cross-p988280" TargetMode="External"/><Relationship Id="rId118" Type="http://schemas.openxmlformats.org/officeDocument/2006/relationships/hyperlink" Target="https://romapneus.com.br/185-60-r15-edgesport2" TargetMode="External"/><Relationship Id="rId139" Type="http://schemas.openxmlformats.org/officeDocument/2006/relationships/hyperlink" Target="https://www.pneustore.com.br/pneu-goodyear-aro-16-cargo-marathon-2-235-65r16c-121-119r-10-lonas-16001718" TargetMode="External"/><Relationship Id="rId85" Type="http://schemas.openxmlformats.org/officeDocument/2006/relationships/hyperlink" Target="https://romapneus.com.br/175-70r14-efficientgrip-performan-88t-xl" TargetMode="External"/><Relationship Id="rId150" Type="http://schemas.openxmlformats.org/officeDocument/2006/relationships/hyperlink" Target="https://www.pneustore.com.br/pneu-goodyear-aro-17-5-regional-rhs-235-75r17-5-132-130l-tl-9070026" TargetMode="External"/><Relationship Id="rId12" Type="http://schemas.openxmlformats.org/officeDocument/2006/relationships/hyperlink" Target="https://www.acheipneus.com.br/pneu-185-65r15-goodyear-eagle-sport-2-88h-p999739" TargetMode="External"/><Relationship Id="rId17" Type="http://schemas.openxmlformats.org/officeDocument/2006/relationships/hyperlink" Target="https://www.pneustore.com.br/pneu-goodyear-aro-14-assurance-maxlife-175-70r14-88t-xl-10130217" TargetMode="External"/><Relationship Id="rId33" Type="http://schemas.openxmlformats.org/officeDocument/2006/relationships/hyperlink" Target="https://www.acheipneus.com.br/pneu-195-65r15-eagle-sport-2-91v-goodyear-p1000408" TargetMode="External"/><Relationship Id="rId38" Type="http://schemas.openxmlformats.org/officeDocument/2006/relationships/hyperlink" Target="https://www.pneustore.com.br/pneu-goodyear-aro-18-wrangler-fortitude-ht-225-55r18-98v-16018865" TargetMode="External"/><Relationship Id="rId59" Type="http://schemas.openxmlformats.org/officeDocument/2006/relationships/hyperlink" Target="https://www.acheipneus.com.br/pneu-215-65-r16-goodyear-wrangler-fortitude-102h-p996138" TargetMode="External"/><Relationship Id="rId103" Type="http://schemas.openxmlformats.org/officeDocument/2006/relationships/hyperlink" Target="https://romapneus.com.br/185-65-r14-edgetouring2" TargetMode="External"/><Relationship Id="rId108" Type="http://schemas.openxmlformats.org/officeDocument/2006/relationships/hyperlink" Target="https://www.acheipneus.com.br/pneu-21545r18-goodyear-eagle-f1-asymmetric-6-93v" TargetMode="External"/><Relationship Id="rId124" Type="http://schemas.openxmlformats.org/officeDocument/2006/relationships/hyperlink" Target="https://www.pneustore.com.br/pneu-goodyear-aro-16-eagle-touring-195-60r16-89h-16001150" TargetMode="External"/><Relationship Id="rId129" Type="http://schemas.openxmlformats.org/officeDocument/2006/relationships/hyperlink" Target="https://romapneus.com.br/225-45r17-eagle-sport-2-94w-xl" TargetMode="External"/><Relationship Id="rId54" Type="http://schemas.openxmlformats.org/officeDocument/2006/relationships/hyperlink" Target="https://romapneus.com.br/185-60-r15-efficientgrip2" TargetMode="External"/><Relationship Id="rId70" Type="http://schemas.openxmlformats.org/officeDocument/2006/relationships/hyperlink" Target="https://www.acheipneus.com.br/pneu-185-55r16-goodyear-eagle-sport-2-83v-p1000550" TargetMode="External"/><Relationship Id="rId75" Type="http://schemas.openxmlformats.org/officeDocument/2006/relationships/hyperlink" Target="https://www.acheipneus.com.br/pneu-195-55-r15-efficientgrip-performance-85h-goodyear-original-fox-polo-p988163" TargetMode="External"/><Relationship Id="rId91" Type="http://schemas.openxmlformats.org/officeDocument/2006/relationships/hyperlink" Target="https://romapneus.com.br/165-70-r14-assurancemaxlife2" TargetMode="External"/><Relationship Id="rId96" Type="http://schemas.openxmlformats.org/officeDocument/2006/relationships/hyperlink" Target="https://www.acheipneus.com.br/pneu-21550r17-goodyear-eagle-sport-2-91v" TargetMode="External"/><Relationship Id="rId140" Type="http://schemas.openxmlformats.org/officeDocument/2006/relationships/hyperlink" Target="https://www.acheipneus.com.br/pneu-235-65r16c-goodyear-cargo-marathon-ii-121-119r-p1000417" TargetMode="External"/><Relationship Id="rId145" Type="http://schemas.openxmlformats.org/officeDocument/2006/relationships/hyperlink" Target="https://romapneus.com.br/235-65-r18-fortitudeht2" TargetMode="External"/><Relationship Id="rId161" Type="http://schemas.openxmlformats.org/officeDocument/2006/relationships/hyperlink" Target="https://romapneus.com.br/185-65r14-assurance-maxlife-86h-sl" TargetMode="External"/><Relationship Id="rId166" Type="http://schemas.openxmlformats.org/officeDocument/2006/relationships/hyperlink" Target="https://www.acheipneus.com.br/pneu-235-55r18-efficientgrip-suv-104v-goodyear-p988678" TargetMode="External"/><Relationship Id="rId1" Type="http://schemas.openxmlformats.org/officeDocument/2006/relationships/hyperlink" Target="https://www.pneustore.com.br/pneu-goodyear-aro-17-wrangler-territory-ht-205-55r17-91v-16004182" TargetMode="External"/><Relationship Id="rId6" Type="http://schemas.openxmlformats.org/officeDocument/2006/relationships/hyperlink" Target="https://romapneus.com.br/205-55-r16-eaglesport2" TargetMode="External"/><Relationship Id="rId23" Type="http://schemas.openxmlformats.org/officeDocument/2006/relationships/hyperlink" Target="https://www.pneustore.com.br/pneu-kelly-by-goodyear-aro-13-edge-touring-2-165-70r13-83t-xl-16009112" TargetMode="External"/><Relationship Id="rId28" Type="http://schemas.openxmlformats.org/officeDocument/2006/relationships/hyperlink" Target="https://romapneus.com.br/185-55-r15-edgesport2" TargetMode="External"/><Relationship Id="rId49" Type="http://schemas.openxmlformats.org/officeDocument/2006/relationships/hyperlink" Target="https://www.acheipneus.com.br/pneu-22560r18-goodyear-wrangler-fortitude-ht-104h" TargetMode="External"/><Relationship Id="rId114" Type="http://schemas.openxmlformats.org/officeDocument/2006/relationships/hyperlink" Target="https://www.pneustore.com.br/pneu-goodyear-aro-14-assurance-maxlife-185-65r14-86h-10130227" TargetMode="External"/><Relationship Id="rId119" Type="http://schemas.openxmlformats.org/officeDocument/2006/relationships/hyperlink" Target="https://www.pneustore.com.br/pneu-kelly-by-goodyear-aro-15-edge-sport-2-195-60r15-88v-16009119" TargetMode="External"/><Relationship Id="rId44" Type="http://schemas.openxmlformats.org/officeDocument/2006/relationships/hyperlink" Target="https://www.pneustore.com.br/pneu-goodyear-aro-15-eagle-sport-2-195-55r15-85h-16001419" TargetMode="External"/><Relationship Id="rId60" Type="http://schemas.openxmlformats.org/officeDocument/2006/relationships/hyperlink" Target="https://www.acheipneus.com.br/pneu-17565r15-goodyear-kelly-edge-sport-2-84t" TargetMode="External"/><Relationship Id="rId65" Type="http://schemas.openxmlformats.org/officeDocument/2006/relationships/hyperlink" Target="https://romapneus.com.br/225-55-r18-efficientgripsuv2" TargetMode="External"/><Relationship Id="rId81" Type="http://schemas.openxmlformats.org/officeDocument/2006/relationships/hyperlink" Target="https://www.pneustore.com.br/pneu-goodyear-aro-15-efficientgrip-performance-195-65r15-91h-10130127" TargetMode="External"/><Relationship Id="rId86" Type="http://schemas.openxmlformats.org/officeDocument/2006/relationships/hyperlink" Target="https://www.pneustore.com.br/pneu-goodyear-aro-14-efficientgrip-performance-175-70r14-88t-xl-10130200" TargetMode="External"/><Relationship Id="rId130" Type="http://schemas.openxmlformats.org/officeDocument/2006/relationships/hyperlink" Target="https://www.pneustore.com.br/pneu-goodyear-aro-17-eagle-sport-2-225-45r17-94w-xl-16015485" TargetMode="External"/><Relationship Id="rId135" Type="http://schemas.openxmlformats.org/officeDocument/2006/relationships/hyperlink" Target="https://www.acheipneus.com.br/pneu-22575r16-goodyear-cargo-marathon-3-118116r" TargetMode="External"/><Relationship Id="rId151" Type="http://schemas.openxmlformats.org/officeDocument/2006/relationships/hyperlink" Target="https://romapneus.com.br/235-60-r16-edgesuv2" TargetMode="External"/><Relationship Id="rId156" Type="http://schemas.openxmlformats.org/officeDocument/2006/relationships/hyperlink" Target="https://www.acheipneus.com.br/pneu-22545r17-goodyear-eagle-sport-2-94w" TargetMode="External"/><Relationship Id="rId13" Type="http://schemas.openxmlformats.org/officeDocument/2006/relationships/hyperlink" Target="https://romapneus.com.br/215-65-r17-efficientgripsuv2" TargetMode="External"/><Relationship Id="rId18" Type="http://schemas.openxmlformats.org/officeDocument/2006/relationships/hyperlink" Target="https://www.acheipneus.com.br/pneu-175-70r14-goodyear-assurance-maxlife-88t-p995143" TargetMode="External"/><Relationship Id="rId39" Type="http://schemas.openxmlformats.org/officeDocument/2006/relationships/hyperlink" Target="https://www.acheipneus.com.br/pneu-22555r18-goodyear-wrangler-fortitude-ht-98v" TargetMode="External"/><Relationship Id="rId109" Type="http://schemas.openxmlformats.org/officeDocument/2006/relationships/hyperlink" Target="https://romapneus.com.br/225-50r17-eagle-sport-2-94v-sl" TargetMode="External"/><Relationship Id="rId34" Type="http://schemas.openxmlformats.org/officeDocument/2006/relationships/hyperlink" Target="https://romapneus.com.br/185-70-r14-edgetouring2" TargetMode="External"/><Relationship Id="rId50" Type="http://schemas.openxmlformats.org/officeDocument/2006/relationships/hyperlink" Target="https://romapneus.com.br/215-65-r16-fortitudeht2" TargetMode="External"/><Relationship Id="rId55" Type="http://schemas.openxmlformats.org/officeDocument/2006/relationships/hyperlink" Target="https://www.pneustore.com.br/pneu-goodyear-aro-16-wrangler-fortitude-ht-215-65r16-102h-xl-16000524" TargetMode="External"/><Relationship Id="rId76" Type="http://schemas.openxmlformats.org/officeDocument/2006/relationships/hyperlink" Target="https://romapneus.com.br/235-45r19-wrangler-territory-vw-95v-sl" TargetMode="External"/><Relationship Id="rId97" Type="http://schemas.openxmlformats.org/officeDocument/2006/relationships/hyperlink" Target="https://romapneus.com.br/205-70r15c-cargo-marathon-2-106-104r-d" TargetMode="External"/><Relationship Id="rId104" Type="http://schemas.openxmlformats.org/officeDocument/2006/relationships/hyperlink" Target="https://www.pneustore.com.br/pneu-kelly-by-goodyear-aro-14-edge-touring-2-185-65r14-86h-16009116" TargetMode="External"/><Relationship Id="rId120" Type="http://schemas.openxmlformats.org/officeDocument/2006/relationships/hyperlink" Target="https://www.acheipneus.com.br/pneu-19560r15-goodyear-kelly-edge-sport-2-88v" TargetMode="External"/><Relationship Id="rId125" Type="http://schemas.openxmlformats.org/officeDocument/2006/relationships/hyperlink" Target="https://www.acheipneus.com.br/pneu-195-60r16-goodyear-eagle-touring-89h-p998365" TargetMode="External"/><Relationship Id="rId141" Type="http://schemas.openxmlformats.org/officeDocument/2006/relationships/hyperlink" Target="https://romapneus.com.br/215-75r17-5-ags-126-124l-f" TargetMode="External"/><Relationship Id="rId146" Type="http://schemas.openxmlformats.org/officeDocument/2006/relationships/hyperlink" Target="https://www.pneustore.com.br/pneu-goodyear-aro-18-wrangler-fortitude-ht-235-60r18-103v-16000511" TargetMode="External"/><Relationship Id="rId167" Type="http://schemas.openxmlformats.org/officeDocument/2006/relationships/hyperlink" Target="https://romapneus.com.br/185-70r14-assurance-maxlife-88h-sl" TargetMode="External"/><Relationship Id="rId7" Type="http://schemas.openxmlformats.org/officeDocument/2006/relationships/hyperlink" Target="https://www.pneustore.com.br/pneu-goodyear-aro-15-eagle-sport-2-185-60r15-88h-xl-16001785" TargetMode="External"/><Relationship Id="rId71" Type="http://schemas.openxmlformats.org/officeDocument/2006/relationships/hyperlink" Target="https://romapneus.com.br/185-65-r15-eagletouring2" TargetMode="External"/><Relationship Id="rId92" Type="http://schemas.openxmlformats.org/officeDocument/2006/relationships/hyperlink" Target="https://www.pneustore.com.br/pneu-goodyear-aro-14-assurance-maxlife-165-70r14-85t-xl-10130234" TargetMode="External"/><Relationship Id="rId162" Type="http://schemas.openxmlformats.org/officeDocument/2006/relationships/hyperlink" Target="https://romapneus.com.br/225-65r16c-g32-cargo-112-110r-d-sl" TargetMode="External"/><Relationship Id="rId2" Type="http://schemas.openxmlformats.org/officeDocument/2006/relationships/hyperlink" Target="https://www.acheipneus.com.br/pneu-205-55r17-goodyear-wrangler-territory-ht-91v-p999658" TargetMode="External"/><Relationship Id="rId29" Type="http://schemas.openxmlformats.org/officeDocument/2006/relationships/hyperlink" Target="https://www.pneustore.com.br/pneu-kelly-by-goodyear-aro-15-edge-sport-2-195-55r15-85h-16009118" TargetMode="External"/><Relationship Id="rId24" Type="http://schemas.openxmlformats.org/officeDocument/2006/relationships/hyperlink" Target="https://www.acheipneus.com.br/pneu-16570r13-goodyear-kelly-edge-touring-2-83t" TargetMode="External"/><Relationship Id="rId40" Type="http://schemas.openxmlformats.org/officeDocument/2006/relationships/hyperlink" Target="https://romapneus.com.br/205-45-r18-eagletouring2" TargetMode="External"/><Relationship Id="rId45" Type="http://schemas.openxmlformats.org/officeDocument/2006/relationships/hyperlink" Target="https://www.acheipneus.com.br/pneu-195-55r15-goodyear-eagle-sport-2-85h-p998375" TargetMode="External"/><Relationship Id="rId66" Type="http://schemas.openxmlformats.org/officeDocument/2006/relationships/hyperlink" Target="https://www.pneustore.com.br/pneu-goodyear-aro-18-efficientgrip-suv-225-55r18-98v-10130193" TargetMode="External"/><Relationship Id="rId87" Type="http://schemas.openxmlformats.org/officeDocument/2006/relationships/hyperlink" Target="https://www.acheipneus.com.br/pneu-175-70-r14-goodyear-efficientgrip-performance-88t-p991403" TargetMode="External"/><Relationship Id="rId110" Type="http://schemas.openxmlformats.org/officeDocument/2006/relationships/hyperlink" Target="https://www.pneustore.com.br/pneu-goodyear-aro-17-eagle-sport-2-225-50r17-94v-16001788" TargetMode="External"/><Relationship Id="rId115" Type="http://schemas.openxmlformats.org/officeDocument/2006/relationships/hyperlink" Target="https://www.acheipneus.com.br/pneu-185-65r14-goodyear-assurance-maxlife-86h-p998320" TargetMode="External"/><Relationship Id="rId131" Type="http://schemas.openxmlformats.org/officeDocument/2006/relationships/hyperlink" Target="https://www.acheipneus.com.br/pneu-22545r17-goodyear-eagle-sport-2-94w" TargetMode="External"/><Relationship Id="rId136" Type="http://schemas.openxmlformats.org/officeDocument/2006/relationships/hyperlink" Target="https://www.pneustore.com.br/pneu-goodyear-aro-16-cargo-marathon-3-225-75r16c-118-116r-10-lonas-16037526" TargetMode="External"/><Relationship Id="rId157" Type="http://schemas.openxmlformats.org/officeDocument/2006/relationships/hyperlink" Target="https://romapneus.com.br/275-80r22-5-kmax-s-gen-2-149-146l-h-dc71" TargetMode="External"/><Relationship Id="rId61" Type="http://schemas.openxmlformats.org/officeDocument/2006/relationships/hyperlink" Target="https://www.acheipneus.com.br/pneu-215-50-r17-efficientgrip-performance-goodyear-91v-original-honda-civic-p988315" TargetMode="External"/><Relationship Id="rId82" Type="http://schemas.openxmlformats.org/officeDocument/2006/relationships/hyperlink" Target="https://romapneus.com.br/205-55-r17-eagletouring2" TargetMode="External"/><Relationship Id="rId152" Type="http://schemas.openxmlformats.org/officeDocument/2006/relationships/hyperlink" Target="https://www.pneustore.com.br/pneu-kelly-by-goodyear-aro-16-edge-suv-2-235-60r16-100h-16009121" TargetMode="External"/><Relationship Id="rId19" Type="http://schemas.openxmlformats.org/officeDocument/2006/relationships/hyperlink" Target="https://romapneus.com.br/205-60-r16-territoryht2" TargetMode="External"/><Relationship Id="rId14" Type="http://schemas.openxmlformats.org/officeDocument/2006/relationships/hyperlink" Target="https://www.pneustore.com.br/pneu-goodyear-aro-17-efficientgrip-suv-215-60r17-96h-16001153" TargetMode="External"/><Relationship Id="rId30" Type="http://schemas.openxmlformats.org/officeDocument/2006/relationships/hyperlink" Target="https://www.acheipneus.com.br/pneu-19555r15-goodyear-kelly-edge-sport-2-85h" TargetMode="External"/><Relationship Id="rId35" Type="http://schemas.openxmlformats.org/officeDocument/2006/relationships/hyperlink" Target="https://www.pneustore.com.br/pneu-kelly-by-goodyear-aro-14-edge-touring-2-185-70r14-88h-16009284" TargetMode="External"/><Relationship Id="rId56" Type="http://schemas.openxmlformats.org/officeDocument/2006/relationships/hyperlink" Target="https://www.pneustore.com.br/pneu-kelly-by-goodyear-aro-15-edge-sport-2-175-65r15-84t-16009126" TargetMode="External"/><Relationship Id="rId77" Type="http://schemas.openxmlformats.org/officeDocument/2006/relationships/hyperlink" Target="https://www.acheipneus.com.br/pneu-235-45r19-goodyear-wrangler-territory-95v-p1000635" TargetMode="External"/><Relationship Id="rId100" Type="http://schemas.openxmlformats.org/officeDocument/2006/relationships/hyperlink" Target="https://romapneus.com.br/185-55-r16-vefficientgrip1" TargetMode="External"/><Relationship Id="rId105" Type="http://schemas.openxmlformats.org/officeDocument/2006/relationships/hyperlink" Target="https://www.acheipneus.com.br/pneu-18565r14-goodyear-kelly-edge-touring-2-86h" TargetMode="External"/><Relationship Id="rId126" Type="http://schemas.openxmlformats.org/officeDocument/2006/relationships/hyperlink" Target="https://romapneus.com.br/195-55-r16-eaglesport1" TargetMode="External"/><Relationship Id="rId147" Type="http://schemas.openxmlformats.org/officeDocument/2006/relationships/hyperlink" Target="https://romapneus.com.br/275-80r22-5-149-146l-stm-ags" TargetMode="External"/><Relationship Id="rId168" Type="http://schemas.openxmlformats.org/officeDocument/2006/relationships/hyperlink" Target="https://romapneus.com.br/185-65r14-assurance-maxlife-86h-sl" TargetMode="External"/><Relationship Id="rId8" Type="http://schemas.openxmlformats.org/officeDocument/2006/relationships/hyperlink" Target="https://romapneus.com.br/185-60-r15-eaglesport2" TargetMode="External"/><Relationship Id="rId51" Type="http://schemas.openxmlformats.org/officeDocument/2006/relationships/hyperlink" Target="https://romapneus.com.br/175-65-r15-edgesport2" TargetMode="External"/><Relationship Id="rId72" Type="http://schemas.openxmlformats.org/officeDocument/2006/relationships/hyperlink" Target="https://www.pneustore.com.br/pneu-goodyear-aro-15-eagle-touring-185-65r15-88h-16015122" TargetMode="External"/><Relationship Id="rId93" Type="http://schemas.openxmlformats.org/officeDocument/2006/relationships/hyperlink" Target="https://www.acheipneus.com.br/pneu-165-70r14-goodyear-assurance-maxlife-85t-p996849" TargetMode="External"/><Relationship Id="rId98" Type="http://schemas.openxmlformats.org/officeDocument/2006/relationships/hyperlink" Target="https://www.pneustore.com.br/pneu-goodyear-aro-15-cargo-marathon-2-205-70r15c-106-104r-10-lonas-10130192" TargetMode="External"/><Relationship Id="rId121" Type="http://schemas.openxmlformats.org/officeDocument/2006/relationships/hyperlink" Target="https://romapneus.com.br/225-45-r17-efficientgripperf2" TargetMode="External"/><Relationship Id="rId142" Type="http://schemas.openxmlformats.org/officeDocument/2006/relationships/hyperlink" Target="https://www.pneustore.com.br/pneu-goodyear-aro-17-5-steelmark-ags-215-75r17-5-126-124l-9070011" TargetMode="External"/><Relationship Id="rId163" Type="http://schemas.openxmlformats.org/officeDocument/2006/relationships/hyperlink" Target="https://romapneus.com.br/225-75r16c-cargo-marathon-3-118r-e-cc72" TargetMode="External"/><Relationship Id="rId3" Type="http://schemas.openxmlformats.org/officeDocument/2006/relationships/hyperlink" Target="https://romapneus.com.br/205-55-r17-wranglerterritory" TargetMode="External"/><Relationship Id="rId25" Type="http://schemas.openxmlformats.org/officeDocument/2006/relationships/hyperlink" Target="https://romapneus.com.br/185-60-r15-efficientgripperf2" TargetMode="External"/><Relationship Id="rId46" Type="http://schemas.openxmlformats.org/officeDocument/2006/relationships/hyperlink" Target="https://www.acheipneus.com.br/pneu-215-65-r16-goodyear-wrangler-fortitude-102h-p996138" TargetMode="External"/><Relationship Id="rId67" Type="http://schemas.openxmlformats.org/officeDocument/2006/relationships/hyperlink" Target="https://www.acheipneus.com.br/pneu-225-55r18-efficientgrip-suv-98h-goodyear-ix35-p987742" TargetMode="External"/><Relationship Id="rId116" Type="http://schemas.openxmlformats.org/officeDocument/2006/relationships/hyperlink" Target="https://www.pneustore.com.br/pneu-goodyear-aro-16-g32-cargo-225-65r16c-112-110r-8-lonas-10130032" TargetMode="External"/><Relationship Id="rId137" Type="http://schemas.openxmlformats.org/officeDocument/2006/relationships/hyperlink" Target="https://romapneus.com.br/215-75r17-5-regional-rhs-126-124l-f" TargetMode="External"/><Relationship Id="rId158" Type="http://schemas.openxmlformats.org/officeDocument/2006/relationships/hyperlink" Target="https://www.pneustore.com.br/pneu-goodyear-aro-22-5-kmax-d-275-80r22-5-149-146l-9070015" TargetMode="External"/><Relationship Id="rId20" Type="http://schemas.openxmlformats.org/officeDocument/2006/relationships/hyperlink" Target="https://www.pneustore.com.br/pneu-goodyear-aro-16-wrangler-territory-ht-205-60r16-92h-16010631" TargetMode="External"/><Relationship Id="rId41" Type="http://schemas.openxmlformats.org/officeDocument/2006/relationships/hyperlink" Target="https://www.pneustore.com.br/pneu-goodyear-aro-18-eagle-touring-205-45r18-86v-10130221" TargetMode="External"/><Relationship Id="rId62" Type="http://schemas.openxmlformats.org/officeDocument/2006/relationships/hyperlink" Target="https://www.acheipneus.com.br/pneu-22560r18-goodyear-wrangler-fortitude-ht-104h" TargetMode="External"/><Relationship Id="rId83" Type="http://schemas.openxmlformats.org/officeDocument/2006/relationships/hyperlink" Target="https://www.pneustore.com.br/pneu-goodyear-aro-17-eagle-touring-205-50r17-89v-10130215" TargetMode="External"/><Relationship Id="rId88" Type="http://schemas.openxmlformats.org/officeDocument/2006/relationships/hyperlink" Target="https://romapneus.com.br/215-55-r18-territoryvw2" TargetMode="External"/><Relationship Id="rId111" Type="http://schemas.openxmlformats.org/officeDocument/2006/relationships/hyperlink" Target="https://www.acheipneus.com.br/pneu-225-50r17-goodyear-eagle-sport-2-94v-p999733" TargetMode="External"/><Relationship Id="rId132" Type="http://schemas.openxmlformats.org/officeDocument/2006/relationships/hyperlink" Target="https://romapneus.com.br/235-60-r16-fortitudeht2" TargetMode="External"/><Relationship Id="rId153" Type="http://schemas.openxmlformats.org/officeDocument/2006/relationships/hyperlink" Target="https://www.acheipneus.com.br/pneu-23560r16-goodyear-kelly-edge-suv-2-100h" TargetMode="External"/><Relationship Id="rId15" Type="http://schemas.openxmlformats.org/officeDocument/2006/relationships/hyperlink" Target="https://www.acheipneus.com.br/pneu-215-60-r17-efficientgrip-suv-goodyear-96h-original-hyundai-creta-asx-p988413" TargetMode="External"/><Relationship Id="rId36" Type="http://schemas.openxmlformats.org/officeDocument/2006/relationships/hyperlink" Target="https://www.acheipneus.com.br/pneu-18570r14-goodyear-kelly-edge-touring-2-88h" TargetMode="External"/><Relationship Id="rId57" Type="http://schemas.openxmlformats.org/officeDocument/2006/relationships/hyperlink" Target="https://www.pneustore.com.br/pneu-goodyear-aro-17-efficientgrip-performance-215-50r17-91v-16007242" TargetMode="External"/><Relationship Id="rId106" Type="http://schemas.openxmlformats.org/officeDocument/2006/relationships/hyperlink" Target="https://romapneus.com.br/215-45-r18-fasymmetric2" TargetMode="External"/><Relationship Id="rId127" Type="http://schemas.openxmlformats.org/officeDocument/2006/relationships/hyperlink" Target="https://www.pneustore.com.br/pneu-goodyear-aro-16-eagle-sport-2-195-55r16-91v-xl-16002678" TargetMode="External"/><Relationship Id="rId10" Type="http://schemas.openxmlformats.org/officeDocument/2006/relationships/hyperlink" Target="https://romapneus.com.br/185-65-r15-eaglesport2sl" TargetMode="External"/><Relationship Id="rId31" Type="http://schemas.openxmlformats.org/officeDocument/2006/relationships/hyperlink" Target="https://romapneus.com.br/195-65-r15-eaglesport2" TargetMode="External"/><Relationship Id="rId52" Type="http://schemas.openxmlformats.org/officeDocument/2006/relationships/hyperlink" Target="https://romapneus.com.br/215-50r17-effigrip-perf-91v-ho" TargetMode="External"/><Relationship Id="rId73" Type="http://schemas.openxmlformats.org/officeDocument/2006/relationships/hyperlink" Target="https://www.acheipneus.com.br/pneu-185-65r15-goodyear-eagle-touring-88h-p1001150" TargetMode="External"/><Relationship Id="rId78" Type="http://schemas.openxmlformats.org/officeDocument/2006/relationships/hyperlink" Target="https://www.pneustore.com.br/pneu-goodyear-aro-19-wrangler-territory-ht-235-45r19-95v-16001417" TargetMode="External"/><Relationship Id="rId94" Type="http://schemas.openxmlformats.org/officeDocument/2006/relationships/hyperlink" Target="https://romapneus.com.br/215-55-r17-eaglesport2" TargetMode="External"/><Relationship Id="rId99" Type="http://schemas.openxmlformats.org/officeDocument/2006/relationships/hyperlink" Target="https://www.acheipneus.com.br/pneu-205-70r15-goodyear-cargo-marathon-ii-p993835" TargetMode="External"/><Relationship Id="rId101" Type="http://schemas.openxmlformats.org/officeDocument/2006/relationships/hyperlink" Target="https://www.pneustore.com.br/todos?title=Pneu+Goodyear+Aro+16+EfficientGrip+Performance+185%2F55R16+83V&amp;page=1&amp;pageSize=20&amp;sortBy=Relevance" TargetMode="External"/><Relationship Id="rId122" Type="http://schemas.openxmlformats.org/officeDocument/2006/relationships/hyperlink" Target="https://www.acheipneus.com.br/pneu-225-45-r17-goodyear-efficientgrip-performance-94w-p987739" TargetMode="External"/><Relationship Id="rId143" Type="http://schemas.openxmlformats.org/officeDocument/2006/relationships/hyperlink" Target="https://www.acheipneus.com.br/pneu-195-70r15-goodyear-cargo-marathon-ii-104-102r-p993826" TargetMode="External"/><Relationship Id="rId148" Type="http://schemas.openxmlformats.org/officeDocument/2006/relationships/hyperlink" Target="https://www.pneustore.com.br/pneu-goodyear-aro-22-5-steelmark-ags-275-80r22-5-149-146l-tl-9070006" TargetMode="External"/><Relationship Id="rId164" Type="http://schemas.openxmlformats.org/officeDocument/2006/relationships/hyperlink" Target="https://romapneus.com.br/235-65r16c-cargo-marat-2-121-119r-e" TargetMode="External"/><Relationship Id="rId4" Type="http://schemas.openxmlformats.org/officeDocument/2006/relationships/hyperlink" Target="https://www.pneustore.com.br/pneu-goodyear-aro-16-eagle-sport-2-205-55r16-91v-16001418" TargetMode="External"/><Relationship Id="rId9" Type="http://schemas.openxmlformats.org/officeDocument/2006/relationships/hyperlink" Target="https://www.acheipneus.com.br/pneu-185-60r15-goodyear-eagle-sport-2-88h-p999962" TargetMode="External"/><Relationship Id="rId26" Type="http://schemas.openxmlformats.org/officeDocument/2006/relationships/hyperlink" Target="https://www.pneustore.com.br/pneu-goodyear-aro-15-efficientgrip-performance-185-60r15-88h-xl-10130112" TargetMode="External"/><Relationship Id="rId47" Type="http://schemas.openxmlformats.org/officeDocument/2006/relationships/hyperlink" Target="https://www.acheipneus.com.br/pneu-17565r15-goodyear-kelly-edge-sport-2-84t" TargetMode="External"/><Relationship Id="rId68" Type="http://schemas.openxmlformats.org/officeDocument/2006/relationships/hyperlink" Target="https://romapneus.com.br/185-55-r16-eaglesport1" TargetMode="External"/><Relationship Id="rId89" Type="http://schemas.openxmlformats.org/officeDocument/2006/relationships/hyperlink" Target="https://www.pneustore.com.br/pneu-goodyear-aro-18-wrangler-territory-ht-215-55r18-95v-16000536" TargetMode="External"/><Relationship Id="rId112" Type="http://schemas.openxmlformats.org/officeDocument/2006/relationships/hyperlink" Target="https://www.pneustore.com.br/pneu-goodyear-aro-14-assurance-maxlife-185-70r14-88h-10130229" TargetMode="External"/><Relationship Id="rId133" Type="http://schemas.openxmlformats.org/officeDocument/2006/relationships/hyperlink" Target="https://www.pneustore.com.br/pneu-goodyear-aro-16-wrangler-fortitude-ht-235-60r16-100h-16000526" TargetMode="External"/><Relationship Id="rId154" Type="http://schemas.openxmlformats.org/officeDocument/2006/relationships/hyperlink" Target="https://romapneus.com.br/225-45r17-eagle-sport-2-94w-xl-bc74" TargetMode="External"/><Relationship Id="rId16" Type="http://schemas.openxmlformats.org/officeDocument/2006/relationships/hyperlink" Target="https://romapneus.com.br/175-70-r14-assurancemaxlife2" TargetMode="External"/><Relationship Id="rId37" Type="http://schemas.openxmlformats.org/officeDocument/2006/relationships/hyperlink" Target="https://romapneus.com.br/225-55-r18-fortitudeht2" TargetMode="External"/><Relationship Id="rId58" Type="http://schemas.openxmlformats.org/officeDocument/2006/relationships/hyperlink" Target="https://www.pneustore.com.br/pneu-goodyear-aro-18-wrangler-fortitude-ht-225-60r18-104h-xl-16009132" TargetMode="External"/><Relationship Id="rId79" Type="http://schemas.openxmlformats.org/officeDocument/2006/relationships/hyperlink" Target="https://romapneus.com.br/195-65-r15-performancesl2" TargetMode="External"/><Relationship Id="rId102" Type="http://schemas.openxmlformats.org/officeDocument/2006/relationships/hyperlink" Target="https://www.acheipneus.com.br/pneu-185-55r16-efficientgrip-performance-83v-goodyear-original-honda-fit-city-p988395" TargetMode="External"/><Relationship Id="rId123" Type="http://schemas.openxmlformats.org/officeDocument/2006/relationships/hyperlink" Target="https://romapneus.com.br/195-60-r16-eagletouring1" TargetMode="External"/><Relationship Id="rId144" Type="http://schemas.openxmlformats.org/officeDocument/2006/relationships/hyperlink" Target="https://www.pneustore.com.br/pneu-goodyear-aro-15-cargo-marathon-2-195-70r15c-104-102r-10-lonas-16000845" TargetMode="External"/><Relationship Id="rId90" Type="http://schemas.openxmlformats.org/officeDocument/2006/relationships/hyperlink" Target="https://www.acheipneus.com.br/pneu-215-55r18-goodyear-wrangler-territory-ht-95v-p998228" TargetMode="External"/><Relationship Id="rId165" Type="http://schemas.openxmlformats.org/officeDocument/2006/relationships/hyperlink" Target="https://romapneus.com.br/195-70r15c-cargo-mara-2-104-102r-d" TargetMode="External"/><Relationship Id="rId27" Type="http://schemas.openxmlformats.org/officeDocument/2006/relationships/hyperlink" Target="https://www.acheipneus.com.br/pneu-185-60r15-efficientgrip-performance-88h-goodyear-p988162" TargetMode="External"/><Relationship Id="rId48" Type="http://schemas.openxmlformats.org/officeDocument/2006/relationships/hyperlink" Target="https://www.acheipneus.com.br/pneu-215-50-r17-efficientgrip-performance-goodyear-91v-original-honda-civic-p988315" TargetMode="External"/><Relationship Id="rId69" Type="http://schemas.openxmlformats.org/officeDocument/2006/relationships/hyperlink" Target="https://www.pneustore.com.br/pneu-goodyear-aro-16-eagle-sport-2-185-55r16-83v-16001789" TargetMode="External"/><Relationship Id="rId113" Type="http://schemas.openxmlformats.org/officeDocument/2006/relationships/hyperlink" Target="https://www.acheipneus.com.br/pneu-185-70-r14-assurance-maxlife-88h-achei-pneus-p995730" TargetMode="External"/><Relationship Id="rId134" Type="http://schemas.openxmlformats.org/officeDocument/2006/relationships/hyperlink" Target="https://www.acheipneus.com.br/pneu-235-60r16-goodyear-wrangler-fortitude-100h-p996415" TargetMode="External"/><Relationship Id="rId80" Type="http://schemas.openxmlformats.org/officeDocument/2006/relationships/hyperlink" Target="https://www.acheipneus.com.br/pneu-195-65-r15-efficientgrip-performance-91h-goodyear-p988165" TargetMode="External"/><Relationship Id="rId155" Type="http://schemas.openxmlformats.org/officeDocument/2006/relationships/hyperlink" Target="https://www.pneustore.com.br/pneu-goodyear-aro-17-eagle-sport-2-225-45r17-94w-xl-160154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zoomScaleNormal="100" workbookViewId="0"/>
  </sheetViews>
  <sheetFormatPr defaultColWidth="8.7109375" defaultRowHeight="15" x14ac:dyDescent="0.25"/>
  <cols>
    <col min="1" max="1" width="120" customWidth="1"/>
  </cols>
  <sheetData>
    <row r="1" spans="1:1" ht="16.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Normal="100" workbookViewId="0"/>
  </sheetViews>
  <sheetFormatPr defaultColWidth="8.7109375" defaultRowHeight="15" x14ac:dyDescent="0.25"/>
  <cols>
    <col min="1" max="1" width="28" customWidth="1"/>
    <col min="2" max="4" width="14" customWidth="1"/>
  </cols>
  <sheetData>
    <row r="1" spans="1:4" ht="16.5" x14ac:dyDescent="0.25">
      <c r="A1" s="1" t="s">
        <v>9</v>
      </c>
    </row>
    <row r="3" spans="1:4" x14ac:dyDescent="0.25">
      <c r="A3" s="3"/>
      <c r="B3" s="3" t="s">
        <v>10</v>
      </c>
      <c r="C3" s="3" t="s">
        <v>11</v>
      </c>
      <c r="D3" s="3" t="s">
        <v>12</v>
      </c>
    </row>
    <row r="4" spans="1:4" x14ac:dyDescent="0.25">
      <c r="A4" s="3" t="s">
        <v>13</v>
      </c>
      <c r="B4" s="4">
        <f>COUNTIFS(Itens!B2:B73,"Varejo")</f>
        <v>59</v>
      </c>
      <c r="C4" s="4">
        <f>COUNTIFS(Itens!B2:B73,"Distribuição")</f>
        <v>13</v>
      </c>
      <c r="D4" s="4">
        <f>COUNTIFS(Itens!A2:A73,"&gt;0")</f>
        <v>72</v>
      </c>
    </row>
    <row r="5" spans="1:4" x14ac:dyDescent="0.25">
      <c r="A5" s="3" t="s">
        <v>14</v>
      </c>
      <c r="B5" s="4">
        <f>COUNTIFS(Itens!B2:B73,"Varejo",Itens!I2:I73,"Sim")</f>
        <v>53</v>
      </c>
      <c r="C5" s="4">
        <f>COUNTIFS(Itens!B2:B73,"Distribuição",Itens!I2:I73,"Sim")</f>
        <v>3</v>
      </c>
      <c r="D5" s="4">
        <f>COUNTIFS(Itens!A2:A73,"&gt;0",Itens!I2:I73,"Sim")</f>
        <v>56</v>
      </c>
    </row>
    <row r="6" spans="1:4" x14ac:dyDescent="0.25">
      <c r="A6" s="3" t="s">
        <v>15</v>
      </c>
      <c r="B6" s="4">
        <f>COUNTIFS(Itens!B2:B73,"Varejo",Itens!I2:I73,"Não")</f>
        <v>6</v>
      </c>
      <c r="C6" s="4">
        <f>COUNTIFS(Itens!B2:B73,"Distribuição",Itens!I2:I73,"Não")</f>
        <v>10</v>
      </c>
      <c r="D6" s="4">
        <f>COUNTIFS(Itens!A2:A73,"&gt;0",Itens!I2:I73,"Não")</f>
        <v>16</v>
      </c>
    </row>
    <row r="7" spans="1:4" x14ac:dyDescent="0.25">
      <c r="A7" s="3" t="s">
        <v>16</v>
      </c>
      <c r="B7" s="4">
        <f>COUNTIFS(Itens!B2:B73,"Varejo",Itens!H2:H73,"Sim")</f>
        <v>14</v>
      </c>
      <c r="C7" s="4">
        <f>COUNTIFS(Itens!B2:B73,"Distribuição",Itens!H2:H73,"Sim")</f>
        <v>0</v>
      </c>
      <c r="D7" s="4">
        <f>COUNTIFS(Itens!A2:A73,"&gt;0",Itens!H2:H73,"Sim")</f>
        <v>14</v>
      </c>
    </row>
    <row r="8" spans="1:4" x14ac:dyDescent="0.25">
      <c r="A8" s="3" t="s">
        <v>17</v>
      </c>
      <c r="B8" s="4">
        <f>COUNTIFS(Itens!B2:B73,"Varejo",Itens!H2:H73,"Não")</f>
        <v>45</v>
      </c>
      <c r="C8" s="4">
        <f>COUNTIFS(Itens!B2:B73,"Distribuição",Itens!H2:H73,"Não")</f>
        <v>13</v>
      </c>
      <c r="D8" s="4">
        <f>COUNTIFS(Itens!A2:A73,"&gt;0",Itens!H2:H73,"Não")</f>
        <v>58</v>
      </c>
    </row>
    <row r="9" spans="1:4" x14ac:dyDescent="0.25">
      <c r="A9" s="3" t="s">
        <v>18</v>
      </c>
      <c r="B9" s="4">
        <f>SUMIFS(Itens!G2:G73,Itens!B2:B73,"Varejo")</f>
        <v>9196</v>
      </c>
      <c r="C9" s="4">
        <f>SUMIFS(Itens!G2:G73,Itens!B2:B73,"Distribuição")</f>
        <v>521</v>
      </c>
      <c r="D9" s="4">
        <f>SUM(Itens!G2:G73)</f>
        <v>9717</v>
      </c>
    </row>
    <row r="10" spans="1:4" x14ac:dyDescent="0.25">
      <c r="A10" s="3"/>
      <c r="B10" s="4"/>
      <c r="C10" s="4"/>
      <c r="D10" s="4"/>
    </row>
    <row r="11" spans="1:4" x14ac:dyDescent="0.25">
      <c r="A11" s="3" t="s">
        <v>19</v>
      </c>
      <c r="B11" s="3" t="s">
        <v>20</v>
      </c>
      <c r="C11" s="3" t="s">
        <v>21</v>
      </c>
      <c r="D11" s="3" t="s">
        <v>22</v>
      </c>
    </row>
    <row r="12" spans="1:4" x14ac:dyDescent="0.25">
      <c r="A12" s="3" t="s">
        <v>23</v>
      </c>
      <c r="B12" s="4">
        <f>COUNTA(Itens!L2:L73)</f>
        <v>71</v>
      </c>
      <c r="C12" s="4">
        <f>COUNTA(Itens!M2:M73)</f>
        <v>71</v>
      </c>
      <c r="D12" s="4">
        <f>COUNTA(Itens!N2:N73)</f>
        <v>66</v>
      </c>
    </row>
    <row r="14" spans="1:4" x14ac:dyDescent="0.25">
      <c r="A14" s="5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3"/>
  <sheetViews>
    <sheetView tabSelected="1" zoomScaleNormal="100" workbookViewId="0">
      <pane xSplit="4" ySplit="1" topLeftCell="K2" activePane="bottomRight" state="frozen"/>
      <selection pane="topRight" activeCell="E1" sqref="E1"/>
      <selection pane="bottomLeft" activeCell="A2" sqref="A2"/>
      <selection pane="bottomRight" activeCell="K73" sqref="K73"/>
    </sheetView>
  </sheetViews>
  <sheetFormatPr defaultColWidth="8.7109375" defaultRowHeight="15" x14ac:dyDescent="0.25"/>
  <cols>
    <col min="1" max="1" width="5" customWidth="1"/>
    <col min="2" max="2" width="13" customWidth="1"/>
    <col min="3" max="3" width="10" customWidth="1"/>
    <col min="4" max="4" width="44" customWidth="1"/>
    <col min="5" max="5" width="13" customWidth="1"/>
    <col min="6" max="6" width="22" customWidth="1"/>
    <col min="7" max="7" width="12" customWidth="1"/>
    <col min="8" max="8" width="11" customWidth="1"/>
    <col min="9" max="10" width="10" customWidth="1"/>
    <col min="11" max="11" width="12" customWidth="1"/>
    <col min="12" max="14" width="40" customWidth="1"/>
    <col min="15" max="15" width="12" customWidth="1"/>
    <col min="16" max="16" width="55" customWidth="1"/>
  </cols>
  <sheetData>
    <row r="1" spans="1:16" ht="31.5" customHeight="1" x14ac:dyDescent="0.25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35</v>
      </c>
      <c r="L1" s="6" t="s">
        <v>36</v>
      </c>
      <c r="M1" s="6" t="s">
        <v>37</v>
      </c>
      <c r="N1" s="6" t="s">
        <v>38</v>
      </c>
      <c r="O1" s="6" t="s">
        <v>39</v>
      </c>
      <c r="P1" s="6" t="s">
        <v>40</v>
      </c>
    </row>
    <row r="2" spans="1:16" x14ac:dyDescent="0.25">
      <c r="A2" s="7">
        <v>1</v>
      </c>
      <c r="B2" s="7" t="s">
        <v>10</v>
      </c>
      <c r="C2" s="7">
        <v>1</v>
      </c>
      <c r="D2" s="7" t="s">
        <v>41</v>
      </c>
      <c r="E2" s="7" t="s">
        <v>42</v>
      </c>
      <c r="F2" s="7" t="s">
        <v>43</v>
      </c>
      <c r="G2" s="7">
        <v>567</v>
      </c>
      <c r="H2" s="7" t="s">
        <v>44</v>
      </c>
      <c r="I2" s="7" t="s">
        <v>44</v>
      </c>
      <c r="J2" s="7">
        <v>924096</v>
      </c>
      <c r="K2" s="8">
        <v>306.81</v>
      </c>
      <c r="L2" s="9" t="s">
        <v>45</v>
      </c>
      <c r="M2" s="9" t="s">
        <v>46</v>
      </c>
      <c r="N2" s="9" t="s">
        <v>47</v>
      </c>
      <c r="O2" s="9" t="s">
        <v>48</v>
      </c>
      <c r="P2" s="7"/>
    </row>
    <row r="3" spans="1:16" x14ac:dyDescent="0.25">
      <c r="A3" s="7">
        <v>2</v>
      </c>
      <c r="B3" s="7" t="s">
        <v>10</v>
      </c>
      <c r="C3" s="7">
        <v>2</v>
      </c>
      <c r="D3" s="7" t="s">
        <v>49</v>
      </c>
      <c r="E3" s="7" t="s">
        <v>42</v>
      </c>
      <c r="F3" s="7" t="s">
        <v>43</v>
      </c>
      <c r="G3" s="7">
        <v>482</v>
      </c>
      <c r="H3" s="7" t="s">
        <v>44</v>
      </c>
      <c r="I3" s="7" t="s">
        <v>44</v>
      </c>
      <c r="J3" s="7">
        <v>923865</v>
      </c>
      <c r="K3" s="8">
        <v>353.31</v>
      </c>
      <c r="L3" s="9" t="s">
        <v>50</v>
      </c>
      <c r="M3" s="9" t="s">
        <v>51</v>
      </c>
      <c r="N3" s="9" t="s">
        <v>52</v>
      </c>
      <c r="O3" s="9" t="s">
        <v>53</v>
      </c>
      <c r="P3" s="7"/>
    </row>
    <row r="4" spans="1:16" x14ac:dyDescent="0.25">
      <c r="A4" s="7">
        <v>3</v>
      </c>
      <c r="B4" s="7" t="s">
        <v>10</v>
      </c>
      <c r="C4" s="7">
        <v>3</v>
      </c>
      <c r="D4" s="7" t="s">
        <v>54</v>
      </c>
      <c r="E4" s="7" t="s">
        <v>55</v>
      </c>
      <c r="F4" s="7" t="s">
        <v>43</v>
      </c>
      <c r="G4" s="7">
        <v>433</v>
      </c>
      <c r="H4" s="7" t="s">
        <v>44</v>
      </c>
      <c r="I4" s="7" t="s">
        <v>44</v>
      </c>
      <c r="J4" s="7">
        <v>924049</v>
      </c>
      <c r="K4" s="8">
        <v>297.51</v>
      </c>
      <c r="L4" s="9" t="s">
        <v>56</v>
      </c>
      <c r="M4" s="9" t="s">
        <v>57</v>
      </c>
      <c r="N4" s="9" t="s">
        <v>58</v>
      </c>
      <c r="O4" s="9" t="s">
        <v>59</v>
      </c>
      <c r="P4" s="7"/>
    </row>
    <row r="5" spans="1:16" x14ac:dyDescent="0.25">
      <c r="A5" s="7">
        <v>4</v>
      </c>
      <c r="B5" s="7" t="s">
        <v>10</v>
      </c>
      <c r="C5" s="7">
        <v>4</v>
      </c>
      <c r="D5" s="7" t="s">
        <v>60</v>
      </c>
      <c r="E5" s="7" t="s">
        <v>61</v>
      </c>
      <c r="F5" s="7" t="s">
        <v>62</v>
      </c>
      <c r="G5" s="7">
        <v>385</v>
      </c>
      <c r="H5" s="7" t="s">
        <v>63</v>
      </c>
      <c r="I5" s="7" t="s">
        <v>44</v>
      </c>
      <c r="J5" s="7">
        <v>923986</v>
      </c>
      <c r="K5" s="8">
        <v>711.36</v>
      </c>
      <c r="L5" s="10" t="s">
        <v>228</v>
      </c>
      <c r="M5" s="10" t="s">
        <v>226</v>
      </c>
      <c r="N5" s="10" t="s">
        <v>227</v>
      </c>
      <c r="O5" s="9"/>
      <c r="P5" s="7" t="s">
        <v>64</v>
      </c>
    </row>
    <row r="6" spans="1:16" x14ac:dyDescent="0.25">
      <c r="A6" s="7">
        <v>5</v>
      </c>
      <c r="B6" s="7" t="s">
        <v>10</v>
      </c>
      <c r="C6" s="7">
        <v>5</v>
      </c>
      <c r="D6" s="7" t="s">
        <v>65</v>
      </c>
      <c r="E6" s="7" t="s">
        <v>66</v>
      </c>
      <c r="F6" s="7" t="s">
        <v>43</v>
      </c>
      <c r="G6" s="7">
        <v>309</v>
      </c>
      <c r="H6" s="7" t="s">
        <v>63</v>
      </c>
      <c r="I6" s="7" t="s">
        <v>44</v>
      </c>
      <c r="J6" s="7">
        <v>111418</v>
      </c>
      <c r="K6" s="8">
        <v>446.31</v>
      </c>
      <c r="L6" s="10" t="s">
        <v>231</v>
      </c>
      <c r="M6" s="10" t="s">
        <v>229</v>
      </c>
      <c r="N6" s="10" t="s">
        <v>230</v>
      </c>
      <c r="O6" s="9"/>
      <c r="P6" s="7"/>
    </row>
    <row r="7" spans="1:16" x14ac:dyDescent="0.25">
      <c r="A7" s="7">
        <v>6</v>
      </c>
      <c r="B7" s="7" t="s">
        <v>10</v>
      </c>
      <c r="C7" s="7">
        <v>6</v>
      </c>
      <c r="D7" s="7" t="s">
        <v>67</v>
      </c>
      <c r="E7" s="7" t="s">
        <v>68</v>
      </c>
      <c r="F7" s="7" t="s">
        <v>43</v>
      </c>
      <c r="G7" s="7">
        <v>275</v>
      </c>
      <c r="H7" s="7" t="s">
        <v>44</v>
      </c>
      <c r="I7" s="7" t="s">
        <v>44</v>
      </c>
      <c r="J7" s="7">
        <v>1452</v>
      </c>
      <c r="K7" s="8">
        <v>423.06</v>
      </c>
      <c r="L7" s="9" t="s">
        <v>69</v>
      </c>
      <c r="M7" s="9" t="s">
        <v>70</v>
      </c>
      <c r="N7" s="9" t="s">
        <v>71</v>
      </c>
      <c r="O7" s="9" t="s">
        <v>72</v>
      </c>
      <c r="P7" s="7"/>
    </row>
    <row r="8" spans="1:16" x14ac:dyDescent="0.25">
      <c r="A8" s="7">
        <v>7</v>
      </c>
      <c r="B8" s="7" t="s">
        <v>10</v>
      </c>
      <c r="C8" s="7">
        <v>7</v>
      </c>
      <c r="D8" s="7" t="s">
        <v>73</v>
      </c>
      <c r="E8" s="7" t="s">
        <v>74</v>
      </c>
      <c r="F8" s="7" t="s">
        <v>62</v>
      </c>
      <c r="G8" s="7">
        <v>271</v>
      </c>
      <c r="H8" s="7" t="s">
        <v>44</v>
      </c>
      <c r="I8" s="7" t="s">
        <v>44</v>
      </c>
      <c r="J8" s="7">
        <v>923983</v>
      </c>
      <c r="K8" s="8">
        <v>619.29</v>
      </c>
      <c r="L8" s="9" t="s">
        <v>75</v>
      </c>
      <c r="M8" s="9" t="s">
        <v>76</v>
      </c>
      <c r="N8" s="9" t="s">
        <v>77</v>
      </c>
      <c r="O8" s="9" t="s">
        <v>78</v>
      </c>
      <c r="P8" s="7"/>
    </row>
    <row r="9" spans="1:16" x14ac:dyDescent="0.25">
      <c r="A9" s="7">
        <v>8</v>
      </c>
      <c r="B9" s="7" t="s">
        <v>10</v>
      </c>
      <c r="C9" s="7">
        <v>8</v>
      </c>
      <c r="D9" s="7" t="s">
        <v>79</v>
      </c>
      <c r="E9" s="7" t="s">
        <v>80</v>
      </c>
      <c r="F9" s="7" t="s">
        <v>62</v>
      </c>
      <c r="G9" s="7">
        <v>254</v>
      </c>
      <c r="H9" s="7" t="s">
        <v>44</v>
      </c>
      <c r="I9" s="7" t="s">
        <v>44</v>
      </c>
      <c r="J9" s="7">
        <v>2081</v>
      </c>
      <c r="K9" s="8">
        <v>702.99</v>
      </c>
      <c r="L9" s="9" t="s">
        <v>81</v>
      </c>
      <c r="M9" s="9" t="s">
        <v>82</v>
      </c>
      <c r="N9" s="9" t="s">
        <v>83</v>
      </c>
      <c r="O9" s="9" t="s">
        <v>84</v>
      </c>
      <c r="P9" s="7"/>
    </row>
    <row r="10" spans="1:16" x14ac:dyDescent="0.25">
      <c r="A10" s="7">
        <v>9</v>
      </c>
      <c r="B10" s="7" t="s">
        <v>10</v>
      </c>
      <c r="C10" s="7">
        <v>9</v>
      </c>
      <c r="D10" s="7" t="s">
        <v>85</v>
      </c>
      <c r="E10" s="7" t="s">
        <v>68</v>
      </c>
      <c r="F10" s="7" t="s">
        <v>43</v>
      </c>
      <c r="G10" s="7">
        <v>252</v>
      </c>
      <c r="H10" s="7" t="s">
        <v>63</v>
      </c>
      <c r="I10" s="7" t="s">
        <v>44</v>
      </c>
      <c r="J10" s="7">
        <v>923976</v>
      </c>
      <c r="K10" s="8">
        <v>479.79</v>
      </c>
      <c r="L10" s="10" t="s">
        <v>233</v>
      </c>
      <c r="M10" s="10" t="s">
        <v>232</v>
      </c>
      <c r="N10" s="10" t="s">
        <v>234</v>
      </c>
      <c r="O10" s="9"/>
      <c r="P10" s="7"/>
    </row>
    <row r="11" spans="1:16" x14ac:dyDescent="0.25">
      <c r="A11" s="7">
        <v>10</v>
      </c>
      <c r="B11" s="7" t="s">
        <v>10</v>
      </c>
      <c r="C11" s="7">
        <v>10</v>
      </c>
      <c r="D11" s="7" t="s">
        <v>86</v>
      </c>
      <c r="E11" s="7" t="s">
        <v>87</v>
      </c>
      <c r="F11" s="7" t="s">
        <v>43</v>
      </c>
      <c r="G11" s="7">
        <v>250</v>
      </c>
      <c r="H11" s="7" t="s">
        <v>63</v>
      </c>
      <c r="I11" s="7" t="s">
        <v>44</v>
      </c>
      <c r="J11" s="7">
        <v>923978</v>
      </c>
      <c r="K11" s="8">
        <v>483.51</v>
      </c>
      <c r="L11" s="10" t="s">
        <v>235</v>
      </c>
      <c r="M11" s="10" t="s">
        <v>236</v>
      </c>
      <c r="N11" s="10" t="s">
        <v>237</v>
      </c>
      <c r="O11" s="9"/>
      <c r="P11" s="7"/>
    </row>
    <row r="12" spans="1:16" x14ac:dyDescent="0.25">
      <c r="A12" s="7">
        <v>11</v>
      </c>
      <c r="B12" s="7" t="s">
        <v>10</v>
      </c>
      <c r="C12" s="7">
        <v>11</v>
      </c>
      <c r="D12" s="7" t="s">
        <v>88</v>
      </c>
      <c r="E12" s="7" t="s">
        <v>89</v>
      </c>
      <c r="F12" s="7" t="s">
        <v>62</v>
      </c>
      <c r="G12" s="7">
        <v>243</v>
      </c>
      <c r="H12" s="7" t="s">
        <v>63</v>
      </c>
      <c r="I12" s="7" t="s">
        <v>44</v>
      </c>
      <c r="J12" s="7">
        <v>923982</v>
      </c>
      <c r="K12" s="8">
        <v>785.76</v>
      </c>
      <c r="L12" s="10" t="s">
        <v>238</v>
      </c>
      <c r="M12" s="10" t="s">
        <v>239</v>
      </c>
      <c r="N12" s="10" t="s">
        <v>240</v>
      </c>
      <c r="O12" s="9"/>
      <c r="P12" s="7"/>
    </row>
    <row r="13" spans="1:16" x14ac:dyDescent="0.25">
      <c r="A13" s="7">
        <v>12</v>
      </c>
      <c r="B13" s="7" t="s">
        <v>10</v>
      </c>
      <c r="C13" s="7">
        <v>12</v>
      </c>
      <c r="D13" s="7" t="s">
        <v>90</v>
      </c>
      <c r="E13" s="7" t="s">
        <v>91</v>
      </c>
      <c r="F13" s="7" t="s">
        <v>43</v>
      </c>
      <c r="G13" s="7">
        <v>220</v>
      </c>
      <c r="H13" s="7" t="s">
        <v>63</v>
      </c>
      <c r="I13" s="7" t="s">
        <v>44</v>
      </c>
      <c r="J13" s="7">
        <v>923866</v>
      </c>
      <c r="K13" s="8">
        <v>406.32</v>
      </c>
      <c r="L13" s="10" t="s">
        <v>241</v>
      </c>
      <c r="M13" s="10" t="s">
        <v>242</v>
      </c>
      <c r="N13" s="10" t="s">
        <v>243</v>
      </c>
      <c r="O13" s="9"/>
      <c r="P13" s="7"/>
    </row>
    <row r="14" spans="1:16" x14ac:dyDescent="0.25">
      <c r="A14" s="7">
        <v>13</v>
      </c>
      <c r="B14" s="7" t="s">
        <v>10</v>
      </c>
      <c r="C14" s="7">
        <v>13</v>
      </c>
      <c r="D14" s="7" t="s">
        <v>92</v>
      </c>
      <c r="E14" s="7" t="s">
        <v>93</v>
      </c>
      <c r="F14" s="7" t="s">
        <v>43</v>
      </c>
      <c r="G14" s="7">
        <v>220</v>
      </c>
      <c r="H14" s="7" t="s">
        <v>44</v>
      </c>
      <c r="I14" s="7" t="s">
        <v>44</v>
      </c>
      <c r="J14" s="7">
        <v>923993</v>
      </c>
      <c r="K14" s="8">
        <v>557.91</v>
      </c>
      <c r="L14" s="9" t="s">
        <v>94</v>
      </c>
      <c r="M14" s="9" t="s">
        <v>95</v>
      </c>
      <c r="N14" s="9" t="s">
        <v>96</v>
      </c>
      <c r="O14" s="9" t="s">
        <v>97</v>
      </c>
      <c r="P14" s="7"/>
    </row>
    <row r="15" spans="1:16" x14ac:dyDescent="0.25">
      <c r="A15" s="7">
        <v>14</v>
      </c>
      <c r="B15" s="7" t="s">
        <v>10</v>
      </c>
      <c r="C15" s="7">
        <v>14</v>
      </c>
      <c r="D15" s="7" t="s">
        <v>98</v>
      </c>
      <c r="E15" s="7" t="s">
        <v>91</v>
      </c>
      <c r="F15" s="7" t="s">
        <v>43</v>
      </c>
      <c r="G15" s="7">
        <v>213</v>
      </c>
      <c r="H15" s="7" t="s">
        <v>44</v>
      </c>
      <c r="I15" s="7" t="s">
        <v>44</v>
      </c>
      <c r="J15" s="7">
        <v>924051</v>
      </c>
      <c r="K15" s="8">
        <v>368.19</v>
      </c>
      <c r="L15" s="9" t="s">
        <v>99</v>
      </c>
      <c r="M15" s="9" t="s">
        <v>100</v>
      </c>
      <c r="N15" s="9" t="s">
        <v>101</v>
      </c>
      <c r="O15" s="9" t="s">
        <v>102</v>
      </c>
      <c r="P15" s="7"/>
    </row>
    <row r="16" spans="1:16" x14ac:dyDescent="0.25">
      <c r="A16" s="7">
        <v>15</v>
      </c>
      <c r="B16" s="7" t="s">
        <v>10</v>
      </c>
      <c r="C16" s="7">
        <v>15</v>
      </c>
      <c r="D16" s="7" t="s">
        <v>103</v>
      </c>
      <c r="E16" s="7" t="s">
        <v>104</v>
      </c>
      <c r="F16" s="7" t="s">
        <v>62</v>
      </c>
      <c r="G16" s="7">
        <v>210</v>
      </c>
      <c r="H16" s="7" t="s">
        <v>63</v>
      </c>
      <c r="I16" s="7" t="s">
        <v>44</v>
      </c>
      <c r="J16" s="7">
        <v>924104</v>
      </c>
      <c r="K16" s="8">
        <v>637.89</v>
      </c>
      <c r="L16" s="10" t="s">
        <v>244</v>
      </c>
      <c r="M16" s="10" t="s">
        <v>247</v>
      </c>
      <c r="N16" s="10" t="s">
        <v>248</v>
      </c>
      <c r="O16" s="9"/>
      <c r="P16" s="7"/>
    </row>
    <row r="17" spans="1:16" x14ac:dyDescent="0.25">
      <c r="A17" s="7">
        <v>16</v>
      </c>
      <c r="B17" s="7" t="s">
        <v>10</v>
      </c>
      <c r="C17" s="7">
        <v>16</v>
      </c>
      <c r="D17" s="7" t="s">
        <v>105</v>
      </c>
      <c r="E17" s="7" t="s">
        <v>87</v>
      </c>
      <c r="F17" s="7" t="s">
        <v>43</v>
      </c>
      <c r="G17" s="7">
        <v>206</v>
      </c>
      <c r="H17" s="7" t="s">
        <v>44</v>
      </c>
      <c r="I17" s="7" t="s">
        <v>44</v>
      </c>
      <c r="J17" s="7">
        <v>1445</v>
      </c>
      <c r="K17" s="8">
        <v>433.29</v>
      </c>
      <c r="L17" s="9" t="s">
        <v>106</v>
      </c>
      <c r="M17" s="9" t="s">
        <v>107</v>
      </c>
      <c r="N17" s="9" t="s">
        <v>108</v>
      </c>
      <c r="O17" s="9" t="s">
        <v>109</v>
      </c>
      <c r="P17" s="7"/>
    </row>
    <row r="18" spans="1:16" x14ac:dyDescent="0.25">
      <c r="A18" s="7">
        <v>17</v>
      </c>
      <c r="B18" s="7" t="s">
        <v>10</v>
      </c>
      <c r="C18" s="7">
        <v>17</v>
      </c>
      <c r="D18" s="7" t="s">
        <v>110</v>
      </c>
      <c r="E18" s="7" t="s">
        <v>66</v>
      </c>
      <c r="F18" s="7" t="s">
        <v>43</v>
      </c>
      <c r="G18" s="7">
        <v>186</v>
      </c>
      <c r="H18" s="7" t="s">
        <v>44</v>
      </c>
      <c r="I18" s="7" t="s">
        <v>44</v>
      </c>
      <c r="J18" s="7">
        <v>924044</v>
      </c>
      <c r="K18" s="8">
        <v>427.71</v>
      </c>
      <c r="L18" s="9" t="s">
        <v>111</v>
      </c>
      <c r="M18" s="9" t="s">
        <v>112</v>
      </c>
      <c r="N18" s="9" t="s">
        <v>113</v>
      </c>
      <c r="O18" s="9" t="s">
        <v>114</v>
      </c>
      <c r="P18" s="7"/>
    </row>
    <row r="19" spans="1:16" x14ac:dyDescent="0.25">
      <c r="A19" s="7">
        <v>18</v>
      </c>
      <c r="B19" s="7" t="s">
        <v>10</v>
      </c>
      <c r="C19" s="7">
        <v>18</v>
      </c>
      <c r="D19" s="7" t="s">
        <v>115</v>
      </c>
      <c r="E19" s="7" t="s">
        <v>116</v>
      </c>
      <c r="F19" s="7" t="s">
        <v>43</v>
      </c>
      <c r="G19" s="7">
        <v>155</v>
      </c>
      <c r="H19" s="7" t="s">
        <v>63</v>
      </c>
      <c r="I19" s="7" t="s">
        <v>44</v>
      </c>
      <c r="J19" s="7">
        <v>924050</v>
      </c>
      <c r="K19" s="8">
        <v>306.81</v>
      </c>
      <c r="L19" s="10" t="s">
        <v>249</v>
      </c>
      <c r="M19" s="10" t="s">
        <v>250</v>
      </c>
      <c r="N19" s="10" t="s">
        <v>251</v>
      </c>
      <c r="O19" s="9"/>
      <c r="P19" s="7"/>
    </row>
    <row r="20" spans="1:16" x14ac:dyDescent="0.25">
      <c r="A20" s="7">
        <v>19</v>
      </c>
      <c r="B20" s="7" t="s">
        <v>10</v>
      </c>
      <c r="C20" s="7">
        <v>19</v>
      </c>
      <c r="D20" s="7" t="s">
        <v>117</v>
      </c>
      <c r="E20" s="7" t="s">
        <v>68</v>
      </c>
      <c r="F20" s="7" t="s">
        <v>43</v>
      </c>
      <c r="G20" s="7">
        <v>150</v>
      </c>
      <c r="H20" s="7" t="s">
        <v>63</v>
      </c>
      <c r="I20" s="7" t="s">
        <v>44</v>
      </c>
      <c r="J20" s="7">
        <v>923811</v>
      </c>
      <c r="K20" s="8">
        <v>529.08000000000004</v>
      </c>
      <c r="L20" s="10" t="s">
        <v>252</v>
      </c>
      <c r="M20" s="10" t="s">
        <v>258</v>
      </c>
      <c r="N20" s="10" t="s">
        <v>259</v>
      </c>
      <c r="O20" s="9"/>
      <c r="P20" s="7"/>
    </row>
    <row r="21" spans="1:16" x14ac:dyDescent="0.25">
      <c r="A21" s="7">
        <v>20</v>
      </c>
      <c r="B21" s="7" t="s">
        <v>10</v>
      </c>
      <c r="C21" s="7">
        <v>20</v>
      </c>
      <c r="D21" s="7" t="s">
        <v>118</v>
      </c>
      <c r="E21" s="7" t="s">
        <v>119</v>
      </c>
      <c r="F21" s="7" t="s">
        <v>43</v>
      </c>
      <c r="G21" s="7">
        <v>149</v>
      </c>
      <c r="H21" s="7" t="s">
        <v>63</v>
      </c>
      <c r="I21" s="7" t="s">
        <v>44</v>
      </c>
      <c r="J21" s="7">
        <v>924055</v>
      </c>
      <c r="K21" s="8">
        <v>433.29</v>
      </c>
      <c r="L21" s="10" t="s">
        <v>260</v>
      </c>
      <c r="M21" s="10" t="s">
        <v>261</v>
      </c>
      <c r="N21" s="10" t="s">
        <v>262</v>
      </c>
      <c r="O21" s="9"/>
      <c r="P21" s="7"/>
    </row>
    <row r="22" spans="1:16" x14ac:dyDescent="0.25">
      <c r="A22" s="7">
        <v>21</v>
      </c>
      <c r="B22" s="7" t="s">
        <v>10</v>
      </c>
      <c r="C22" s="7">
        <v>21</v>
      </c>
      <c r="D22" s="7" t="s">
        <v>120</v>
      </c>
      <c r="E22" s="7" t="s">
        <v>121</v>
      </c>
      <c r="F22" s="7" t="s">
        <v>43</v>
      </c>
      <c r="G22" s="7">
        <v>143</v>
      </c>
      <c r="H22" s="7" t="s">
        <v>63</v>
      </c>
      <c r="I22" s="7" t="s">
        <v>44</v>
      </c>
      <c r="J22" s="7">
        <v>923981</v>
      </c>
      <c r="K22" s="8">
        <v>502.11</v>
      </c>
      <c r="L22" s="10" t="s">
        <v>253</v>
      </c>
      <c r="M22" s="10" t="s">
        <v>263</v>
      </c>
      <c r="N22" s="10" t="s">
        <v>264</v>
      </c>
      <c r="O22" s="9"/>
      <c r="P22" s="7"/>
    </row>
    <row r="23" spans="1:16" x14ac:dyDescent="0.25">
      <c r="A23" s="7">
        <v>22</v>
      </c>
      <c r="B23" s="7" t="s">
        <v>10</v>
      </c>
      <c r="C23" s="7">
        <v>22</v>
      </c>
      <c r="D23" s="7" t="s">
        <v>122</v>
      </c>
      <c r="E23" s="7" t="s">
        <v>123</v>
      </c>
      <c r="F23" s="7" t="s">
        <v>43</v>
      </c>
      <c r="G23" s="7">
        <v>140</v>
      </c>
      <c r="H23" s="7" t="s">
        <v>63</v>
      </c>
      <c r="I23" s="7" t="s">
        <v>44</v>
      </c>
      <c r="J23" s="7">
        <v>924054</v>
      </c>
      <c r="K23" s="8">
        <v>423.99</v>
      </c>
      <c r="L23" s="10" t="s">
        <v>254</v>
      </c>
      <c r="M23" s="10" t="s">
        <v>265</v>
      </c>
      <c r="N23" s="10" t="s">
        <v>266</v>
      </c>
      <c r="O23" s="9"/>
      <c r="P23" s="7"/>
    </row>
    <row r="24" spans="1:16" x14ac:dyDescent="0.25">
      <c r="A24" s="7">
        <v>23</v>
      </c>
      <c r="B24" s="7" t="s">
        <v>10</v>
      </c>
      <c r="C24" s="7">
        <v>23</v>
      </c>
      <c r="D24" s="7" t="s">
        <v>124</v>
      </c>
      <c r="E24" s="7" t="s">
        <v>121</v>
      </c>
      <c r="F24" s="7" t="s">
        <v>43</v>
      </c>
      <c r="G24" s="7">
        <v>134</v>
      </c>
      <c r="H24" s="7" t="s">
        <v>44</v>
      </c>
      <c r="I24" s="7" t="s">
        <v>44</v>
      </c>
      <c r="J24" s="7">
        <v>1453</v>
      </c>
      <c r="K24" s="8">
        <v>463.05</v>
      </c>
      <c r="L24" s="9" t="s">
        <v>125</v>
      </c>
      <c r="M24" s="9" t="s">
        <v>126</v>
      </c>
      <c r="N24" s="9" t="s">
        <v>127</v>
      </c>
      <c r="O24" s="9" t="s">
        <v>128</v>
      </c>
      <c r="P24" s="7"/>
    </row>
    <row r="25" spans="1:16" x14ac:dyDescent="0.25">
      <c r="A25" s="7">
        <v>24</v>
      </c>
      <c r="B25" s="7" t="s">
        <v>10</v>
      </c>
      <c r="C25" s="7">
        <v>24</v>
      </c>
      <c r="D25" s="7" t="s">
        <v>129</v>
      </c>
      <c r="E25" s="7" t="s">
        <v>130</v>
      </c>
      <c r="F25" s="7" t="s">
        <v>62</v>
      </c>
      <c r="G25" s="7">
        <v>133</v>
      </c>
      <c r="H25" s="7" t="s">
        <v>63</v>
      </c>
      <c r="I25" s="7" t="s">
        <v>44</v>
      </c>
      <c r="J25" s="7">
        <v>924069</v>
      </c>
      <c r="K25" s="8">
        <v>764.37</v>
      </c>
      <c r="L25" s="10" t="s">
        <v>245</v>
      </c>
      <c r="M25" s="10" t="s">
        <v>267</v>
      </c>
      <c r="N25" s="10" t="s">
        <v>268</v>
      </c>
      <c r="O25" s="9"/>
      <c r="P25" s="7"/>
    </row>
    <row r="26" spans="1:16" x14ac:dyDescent="0.25">
      <c r="A26" s="7">
        <v>25</v>
      </c>
      <c r="B26" s="7" t="s">
        <v>10</v>
      </c>
      <c r="C26" s="7">
        <v>25</v>
      </c>
      <c r="D26" s="7" t="s">
        <v>131</v>
      </c>
      <c r="E26" s="7" t="s">
        <v>55</v>
      </c>
      <c r="F26" s="7" t="s">
        <v>43</v>
      </c>
      <c r="G26" s="7">
        <v>131</v>
      </c>
      <c r="H26" s="7" t="s">
        <v>44</v>
      </c>
      <c r="I26" s="7" t="s">
        <v>44</v>
      </c>
      <c r="J26" s="7">
        <v>923864</v>
      </c>
      <c r="K26" s="8">
        <v>353.31</v>
      </c>
      <c r="L26" s="9" t="s">
        <v>132</v>
      </c>
      <c r="M26" s="9" t="s">
        <v>133</v>
      </c>
      <c r="N26" s="9" t="s">
        <v>134</v>
      </c>
      <c r="O26" s="9" t="s">
        <v>135</v>
      </c>
      <c r="P26" s="7"/>
    </row>
    <row r="27" spans="1:16" x14ac:dyDescent="0.25">
      <c r="A27" s="7">
        <v>26</v>
      </c>
      <c r="B27" s="7" t="s">
        <v>10</v>
      </c>
      <c r="C27" s="7">
        <v>26</v>
      </c>
      <c r="D27" s="7" t="s">
        <v>136</v>
      </c>
      <c r="E27" s="7" t="s">
        <v>137</v>
      </c>
      <c r="F27" s="7" t="s">
        <v>43</v>
      </c>
      <c r="G27" s="7">
        <v>131</v>
      </c>
      <c r="H27" s="7" t="s">
        <v>63</v>
      </c>
      <c r="I27" s="7" t="s">
        <v>44</v>
      </c>
      <c r="J27" s="7">
        <v>923906</v>
      </c>
      <c r="K27" s="8">
        <v>645.33000000000004</v>
      </c>
      <c r="L27" s="10" t="s">
        <v>255</v>
      </c>
      <c r="M27" s="10" t="s">
        <v>269</v>
      </c>
      <c r="N27" s="10" t="s">
        <v>270</v>
      </c>
      <c r="O27" s="9"/>
      <c r="P27" s="7"/>
    </row>
    <row r="28" spans="1:16" x14ac:dyDescent="0.25">
      <c r="A28" s="7">
        <v>27</v>
      </c>
      <c r="B28" s="7" t="s">
        <v>10</v>
      </c>
      <c r="C28" s="7">
        <v>27</v>
      </c>
      <c r="D28" s="7" t="s">
        <v>138</v>
      </c>
      <c r="E28" s="7" t="s">
        <v>119</v>
      </c>
      <c r="F28" s="7" t="s">
        <v>43</v>
      </c>
      <c r="G28" s="7">
        <v>125</v>
      </c>
      <c r="H28" s="7" t="s">
        <v>63</v>
      </c>
      <c r="I28" s="7" t="s">
        <v>44</v>
      </c>
      <c r="J28" s="7">
        <v>923975</v>
      </c>
      <c r="K28" s="8">
        <v>474.21</v>
      </c>
      <c r="L28" s="10" t="s">
        <v>256</v>
      </c>
      <c r="M28" s="10" t="s">
        <v>271</v>
      </c>
      <c r="N28" s="10" t="s">
        <v>272</v>
      </c>
      <c r="O28" s="9"/>
      <c r="P28" s="7"/>
    </row>
    <row r="29" spans="1:16" x14ac:dyDescent="0.25">
      <c r="A29" s="7">
        <v>28</v>
      </c>
      <c r="B29" s="7" t="s">
        <v>10</v>
      </c>
      <c r="C29" s="7">
        <v>28</v>
      </c>
      <c r="D29" s="7" t="s">
        <v>139</v>
      </c>
      <c r="E29" s="7" t="s">
        <v>140</v>
      </c>
      <c r="F29" s="7" t="s">
        <v>62</v>
      </c>
      <c r="G29" s="7">
        <v>124</v>
      </c>
      <c r="H29" s="7" t="s">
        <v>63</v>
      </c>
      <c r="I29" s="7" t="s">
        <v>44</v>
      </c>
      <c r="J29" s="7">
        <v>923909</v>
      </c>
      <c r="K29" s="8">
        <v>708.57</v>
      </c>
      <c r="L29" s="10" t="s">
        <v>246</v>
      </c>
      <c r="M29" s="10" t="s">
        <v>273</v>
      </c>
      <c r="N29" s="10" t="s">
        <v>274</v>
      </c>
      <c r="O29" s="10" t="s">
        <v>274</v>
      </c>
      <c r="P29" s="7"/>
    </row>
    <row r="30" spans="1:16" x14ac:dyDescent="0.25">
      <c r="A30" s="7">
        <v>29</v>
      </c>
      <c r="B30" s="7" t="s">
        <v>10</v>
      </c>
      <c r="C30" s="7">
        <v>29</v>
      </c>
      <c r="D30" s="7" t="s">
        <v>141</v>
      </c>
      <c r="E30" s="7" t="s">
        <v>142</v>
      </c>
      <c r="F30" s="7" t="s">
        <v>43</v>
      </c>
      <c r="G30" s="7">
        <v>121</v>
      </c>
      <c r="H30" s="7" t="s">
        <v>63</v>
      </c>
      <c r="I30" s="7" t="s">
        <v>44</v>
      </c>
      <c r="J30" s="7">
        <v>924057</v>
      </c>
      <c r="K30" s="8">
        <v>435.15</v>
      </c>
      <c r="L30" s="10" t="s">
        <v>257</v>
      </c>
      <c r="M30" s="10" t="s">
        <v>275</v>
      </c>
      <c r="N30" s="10" t="s">
        <v>276</v>
      </c>
      <c r="O30" s="10" t="s">
        <v>276</v>
      </c>
      <c r="P30" s="7"/>
    </row>
    <row r="31" spans="1:16" x14ac:dyDescent="0.25">
      <c r="A31" s="7">
        <v>30</v>
      </c>
      <c r="B31" s="7" t="s">
        <v>10</v>
      </c>
      <c r="C31" s="7">
        <v>30</v>
      </c>
      <c r="D31" s="7" t="s">
        <v>143</v>
      </c>
      <c r="E31" s="7" t="s">
        <v>144</v>
      </c>
      <c r="F31" s="7" t="s">
        <v>43</v>
      </c>
      <c r="G31" s="7">
        <v>111</v>
      </c>
      <c r="H31" s="7" t="s">
        <v>63</v>
      </c>
      <c r="I31" s="7" t="s">
        <v>63</v>
      </c>
      <c r="J31" s="7"/>
      <c r="K31" s="8"/>
      <c r="L31" s="10" t="s">
        <v>277</v>
      </c>
      <c r="M31" s="10" t="s">
        <v>278</v>
      </c>
      <c r="N31" s="10" t="s">
        <v>279</v>
      </c>
      <c r="O31" s="10" t="s">
        <v>279</v>
      </c>
      <c r="P31" s="7" t="s">
        <v>145</v>
      </c>
    </row>
    <row r="32" spans="1:16" x14ac:dyDescent="0.25">
      <c r="A32" s="7">
        <v>31</v>
      </c>
      <c r="B32" s="7" t="s">
        <v>10</v>
      </c>
      <c r="C32" s="7">
        <v>31</v>
      </c>
      <c r="D32" s="7" t="s">
        <v>146</v>
      </c>
      <c r="E32" s="7" t="s">
        <v>147</v>
      </c>
      <c r="F32" s="7" t="s">
        <v>62</v>
      </c>
      <c r="G32" s="7">
        <v>111</v>
      </c>
      <c r="H32" s="7" t="s">
        <v>63</v>
      </c>
      <c r="I32" s="7" t="s">
        <v>44</v>
      </c>
      <c r="J32" s="7">
        <v>924068</v>
      </c>
      <c r="K32" s="8">
        <v>972.69</v>
      </c>
      <c r="L32" s="10" t="s">
        <v>280</v>
      </c>
      <c r="M32" s="10" t="s">
        <v>281</v>
      </c>
      <c r="N32" s="10" t="s">
        <v>282</v>
      </c>
      <c r="O32" s="10" t="s">
        <v>282</v>
      </c>
      <c r="P32" s="7"/>
    </row>
    <row r="33" spans="1:16" x14ac:dyDescent="0.25">
      <c r="A33" s="7">
        <v>32</v>
      </c>
      <c r="B33" s="7" t="s">
        <v>10</v>
      </c>
      <c r="C33" s="7">
        <v>32</v>
      </c>
      <c r="D33" s="7" t="s">
        <v>148</v>
      </c>
      <c r="E33" s="7" t="s">
        <v>149</v>
      </c>
      <c r="F33" s="7" t="s">
        <v>43</v>
      </c>
      <c r="G33" s="7">
        <v>111</v>
      </c>
      <c r="H33" s="7" t="s">
        <v>63</v>
      </c>
      <c r="I33" s="7" t="s">
        <v>44</v>
      </c>
      <c r="J33" s="7">
        <v>924079</v>
      </c>
      <c r="K33" s="8">
        <v>557.91</v>
      </c>
      <c r="L33" s="10" t="s">
        <v>283</v>
      </c>
      <c r="M33" s="10" t="s">
        <v>284</v>
      </c>
      <c r="N33" s="10" t="s">
        <v>285</v>
      </c>
      <c r="O33" s="9"/>
      <c r="P33" s="7"/>
    </row>
    <row r="34" spans="1:16" x14ac:dyDescent="0.25">
      <c r="A34" s="7">
        <v>33</v>
      </c>
      <c r="B34" s="7" t="s">
        <v>10</v>
      </c>
      <c r="C34" s="7">
        <v>33</v>
      </c>
      <c r="D34" s="7" t="s">
        <v>150</v>
      </c>
      <c r="E34" s="7" t="s">
        <v>130</v>
      </c>
      <c r="F34" s="7" t="s">
        <v>62</v>
      </c>
      <c r="G34" s="7">
        <v>108</v>
      </c>
      <c r="H34" s="7" t="s">
        <v>63</v>
      </c>
      <c r="I34" s="7" t="s">
        <v>44</v>
      </c>
      <c r="J34" s="7">
        <v>923862</v>
      </c>
      <c r="K34" s="8">
        <v>841.56</v>
      </c>
      <c r="L34" s="10" t="s">
        <v>286</v>
      </c>
      <c r="M34" s="10" t="s">
        <v>288</v>
      </c>
      <c r="N34" s="10" t="s">
        <v>289</v>
      </c>
      <c r="O34" s="9"/>
      <c r="P34" s="7"/>
    </row>
    <row r="35" spans="1:16" x14ac:dyDescent="0.25">
      <c r="A35" s="7">
        <v>34</v>
      </c>
      <c r="B35" s="7" t="s">
        <v>10</v>
      </c>
      <c r="C35" s="7">
        <v>34</v>
      </c>
      <c r="D35" s="7" t="s">
        <v>151</v>
      </c>
      <c r="E35" s="7" t="s">
        <v>152</v>
      </c>
      <c r="F35" s="7" t="s">
        <v>43</v>
      </c>
      <c r="G35" s="7">
        <v>103</v>
      </c>
      <c r="H35" s="7" t="s">
        <v>63</v>
      </c>
      <c r="I35" s="7" t="s">
        <v>44</v>
      </c>
      <c r="J35" s="7">
        <v>923980</v>
      </c>
      <c r="K35" s="8">
        <v>618.36</v>
      </c>
      <c r="L35" s="10" t="s">
        <v>287</v>
      </c>
      <c r="M35" s="10" t="s">
        <v>290</v>
      </c>
      <c r="N35" s="10" t="s">
        <v>291</v>
      </c>
      <c r="O35" s="9"/>
      <c r="P35" s="7"/>
    </row>
    <row r="36" spans="1:16" x14ac:dyDescent="0.25">
      <c r="A36" s="7">
        <v>35</v>
      </c>
      <c r="B36" s="7" t="s">
        <v>10</v>
      </c>
      <c r="C36" s="7">
        <v>35</v>
      </c>
      <c r="D36" s="7" t="s">
        <v>153</v>
      </c>
      <c r="E36" s="7" t="s">
        <v>87</v>
      </c>
      <c r="F36" s="7" t="s">
        <v>43</v>
      </c>
      <c r="G36" s="7">
        <v>102</v>
      </c>
      <c r="H36" s="7" t="s">
        <v>63</v>
      </c>
      <c r="I36" s="7" t="s">
        <v>44</v>
      </c>
      <c r="J36" s="7">
        <v>924075</v>
      </c>
      <c r="K36" s="8">
        <v>763.52</v>
      </c>
      <c r="L36" s="10" t="s">
        <v>292</v>
      </c>
      <c r="M36" s="10" t="s">
        <v>293</v>
      </c>
      <c r="N36" s="10" t="s">
        <v>294</v>
      </c>
      <c r="O36" s="9"/>
      <c r="P36" s="7" t="s">
        <v>154</v>
      </c>
    </row>
    <row r="37" spans="1:16" x14ac:dyDescent="0.25">
      <c r="A37" s="7">
        <v>36</v>
      </c>
      <c r="B37" s="7" t="s">
        <v>10</v>
      </c>
      <c r="C37" s="7">
        <v>36</v>
      </c>
      <c r="D37" s="7" t="s">
        <v>155</v>
      </c>
      <c r="E37" s="7" t="s">
        <v>119</v>
      </c>
      <c r="F37" s="7" t="s">
        <v>43</v>
      </c>
      <c r="G37" s="7">
        <v>101</v>
      </c>
      <c r="H37" s="7" t="s">
        <v>63</v>
      </c>
      <c r="I37" s="7" t="s">
        <v>44</v>
      </c>
      <c r="J37" s="7">
        <v>923804</v>
      </c>
      <c r="K37" s="8">
        <v>549.54</v>
      </c>
      <c r="L37" s="10" t="s">
        <v>295</v>
      </c>
      <c r="M37" s="10" t="s">
        <v>296</v>
      </c>
      <c r="N37" s="10" t="s">
        <v>297</v>
      </c>
      <c r="O37" s="10" t="s">
        <v>297</v>
      </c>
      <c r="P37" s="7"/>
    </row>
    <row r="38" spans="1:16" x14ac:dyDescent="0.25">
      <c r="A38" s="7">
        <v>37</v>
      </c>
      <c r="B38" s="7" t="s">
        <v>10</v>
      </c>
      <c r="C38" s="7">
        <v>37</v>
      </c>
      <c r="D38" s="7" t="s">
        <v>156</v>
      </c>
      <c r="E38" s="7" t="s">
        <v>157</v>
      </c>
      <c r="F38" s="7" t="s">
        <v>62</v>
      </c>
      <c r="G38" s="7">
        <v>100</v>
      </c>
      <c r="H38" s="7" t="s">
        <v>63</v>
      </c>
      <c r="I38" s="7" t="s">
        <v>63</v>
      </c>
      <c r="J38" s="7"/>
      <c r="K38" s="8"/>
      <c r="L38" s="10" t="s">
        <v>298</v>
      </c>
      <c r="M38" s="10" t="s">
        <v>300</v>
      </c>
      <c r="N38" s="10" t="s">
        <v>299</v>
      </c>
      <c r="O38" s="9"/>
      <c r="P38" s="7" t="s">
        <v>145</v>
      </c>
    </row>
    <row r="39" spans="1:16" x14ac:dyDescent="0.25">
      <c r="A39" s="7">
        <v>38</v>
      </c>
      <c r="B39" s="7" t="s">
        <v>10</v>
      </c>
      <c r="C39" s="7">
        <v>38</v>
      </c>
      <c r="D39" s="7" t="s">
        <v>158</v>
      </c>
      <c r="E39" s="7" t="s">
        <v>121</v>
      </c>
      <c r="F39" s="7" t="s">
        <v>43</v>
      </c>
      <c r="G39" s="7">
        <v>100</v>
      </c>
      <c r="H39" s="7" t="s">
        <v>63</v>
      </c>
      <c r="I39" s="7" t="s">
        <v>44</v>
      </c>
      <c r="J39" s="7">
        <v>923926</v>
      </c>
      <c r="K39" s="8">
        <v>548.61</v>
      </c>
      <c r="L39" s="10" t="s">
        <v>301</v>
      </c>
      <c r="M39" s="10" t="s">
        <v>303</v>
      </c>
      <c r="N39" s="10" t="s">
        <v>302</v>
      </c>
      <c r="O39" s="9"/>
      <c r="P39" s="7"/>
    </row>
    <row r="40" spans="1:16" x14ac:dyDescent="0.25">
      <c r="A40" s="7">
        <v>39</v>
      </c>
      <c r="B40" s="7" t="s">
        <v>10</v>
      </c>
      <c r="C40" s="7">
        <v>39</v>
      </c>
      <c r="D40" s="7" t="s">
        <v>159</v>
      </c>
      <c r="E40" s="7" t="s">
        <v>160</v>
      </c>
      <c r="F40" s="7" t="s">
        <v>43</v>
      </c>
      <c r="G40" s="7">
        <v>98</v>
      </c>
      <c r="H40" s="7" t="s">
        <v>63</v>
      </c>
      <c r="I40" s="7" t="s">
        <v>44</v>
      </c>
      <c r="J40" s="7">
        <v>923908</v>
      </c>
      <c r="K40" s="8">
        <v>776.46</v>
      </c>
      <c r="L40" s="10" t="s">
        <v>304</v>
      </c>
      <c r="M40" s="10" t="s">
        <v>305</v>
      </c>
      <c r="N40" s="10" t="s">
        <v>306</v>
      </c>
      <c r="O40" s="9"/>
      <c r="P40" s="7"/>
    </row>
    <row r="41" spans="1:16" x14ac:dyDescent="0.25">
      <c r="A41" s="7">
        <v>40</v>
      </c>
      <c r="B41" s="7" t="s">
        <v>10</v>
      </c>
      <c r="C41" s="7">
        <v>40</v>
      </c>
      <c r="D41" s="7" t="s">
        <v>161</v>
      </c>
      <c r="E41" s="7" t="s">
        <v>91</v>
      </c>
      <c r="F41" s="7" t="s">
        <v>43</v>
      </c>
      <c r="G41" s="7">
        <v>97</v>
      </c>
      <c r="H41" s="7" t="s">
        <v>63</v>
      </c>
      <c r="I41" s="7" t="s">
        <v>44</v>
      </c>
      <c r="J41" s="7">
        <v>923832</v>
      </c>
      <c r="K41" s="8">
        <v>492.21</v>
      </c>
      <c r="L41" s="10" t="s">
        <v>307</v>
      </c>
      <c r="M41" s="10" t="s">
        <v>308</v>
      </c>
      <c r="N41" s="10" t="s">
        <v>309</v>
      </c>
      <c r="O41" s="9"/>
      <c r="P41" s="7"/>
    </row>
    <row r="42" spans="1:16" x14ac:dyDescent="0.25">
      <c r="A42" s="7">
        <v>41</v>
      </c>
      <c r="B42" s="7" t="s">
        <v>10</v>
      </c>
      <c r="C42" s="7">
        <v>41</v>
      </c>
      <c r="D42" s="7" t="s">
        <v>162</v>
      </c>
      <c r="E42" s="7" t="s">
        <v>163</v>
      </c>
      <c r="F42" s="7" t="s">
        <v>164</v>
      </c>
      <c r="G42" s="7">
        <v>97</v>
      </c>
      <c r="H42" s="7" t="s">
        <v>44</v>
      </c>
      <c r="I42" s="7" t="s">
        <v>44</v>
      </c>
      <c r="J42" s="7">
        <v>923825</v>
      </c>
      <c r="K42" s="8">
        <v>1097.31</v>
      </c>
      <c r="L42" s="9" t="s">
        <v>165</v>
      </c>
      <c r="M42" s="9" t="s">
        <v>166</v>
      </c>
      <c r="N42" s="9" t="s">
        <v>167</v>
      </c>
      <c r="O42" s="9" t="s">
        <v>168</v>
      </c>
      <c r="P42" s="7"/>
    </row>
    <row r="43" spans="1:16" x14ac:dyDescent="0.25">
      <c r="A43" s="7">
        <v>42</v>
      </c>
      <c r="B43" s="7" t="s">
        <v>10</v>
      </c>
      <c r="C43" s="7">
        <v>42</v>
      </c>
      <c r="D43" s="7" t="s">
        <v>169</v>
      </c>
      <c r="E43" s="7" t="s">
        <v>170</v>
      </c>
      <c r="F43" s="7" t="s">
        <v>62</v>
      </c>
      <c r="G43" s="7">
        <v>91</v>
      </c>
      <c r="H43" s="7" t="s">
        <v>63</v>
      </c>
      <c r="I43" s="7" t="s">
        <v>44</v>
      </c>
      <c r="J43" s="7">
        <v>923856</v>
      </c>
      <c r="K43" s="8">
        <v>860.16</v>
      </c>
      <c r="L43" s="10" t="s">
        <v>310</v>
      </c>
      <c r="M43" s="10" t="s">
        <v>311</v>
      </c>
      <c r="N43" s="10" t="s">
        <v>312</v>
      </c>
      <c r="O43" s="9"/>
      <c r="P43" s="7"/>
    </row>
    <row r="44" spans="1:16" x14ac:dyDescent="0.25">
      <c r="A44" s="7">
        <v>43</v>
      </c>
      <c r="B44" s="7" t="s">
        <v>10</v>
      </c>
      <c r="C44" s="7">
        <v>43</v>
      </c>
      <c r="D44" s="7" t="s">
        <v>171</v>
      </c>
      <c r="E44" s="7" t="s">
        <v>172</v>
      </c>
      <c r="F44" s="7" t="s">
        <v>43</v>
      </c>
      <c r="G44" s="7">
        <v>90</v>
      </c>
      <c r="H44" s="7" t="s">
        <v>63</v>
      </c>
      <c r="I44" s="7" t="s">
        <v>44</v>
      </c>
      <c r="J44" s="7">
        <v>923869</v>
      </c>
      <c r="K44" s="8">
        <v>463.05</v>
      </c>
      <c r="L44" s="10" t="s">
        <v>313</v>
      </c>
      <c r="M44" s="10" t="s">
        <v>316</v>
      </c>
      <c r="N44" s="10" t="s">
        <v>317</v>
      </c>
      <c r="O44" s="9"/>
      <c r="P44" s="7"/>
    </row>
    <row r="45" spans="1:16" x14ac:dyDescent="0.25">
      <c r="A45" s="7">
        <v>44</v>
      </c>
      <c r="B45" s="7" t="s">
        <v>10</v>
      </c>
      <c r="C45" s="7">
        <v>44</v>
      </c>
      <c r="D45" s="7" t="s">
        <v>173</v>
      </c>
      <c r="E45" s="7" t="s">
        <v>144</v>
      </c>
      <c r="F45" s="7" t="s">
        <v>43</v>
      </c>
      <c r="G45" s="7">
        <v>86</v>
      </c>
      <c r="H45" s="7" t="s">
        <v>63</v>
      </c>
      <c r="I45" s="7" t="s">
        <v>44</v>
      </c>
      <c r="J45" s="7">
        <v>924071</v>
      </c>
      <c r="K45" s="8">
        <v>589.53</v>
      </c>
      <c r="L45" s="10" t="s">
        <v>318</v>
      </c>
      <c r="M45" s="10" t="s">
        <v>319</v>
      </c>
      <c r="N45" s="10" t="s">
        <v>320</v>
      </c>
      <c r="O45" s="9"/>
      <c r="P45" s="7"/>
    </row>
    <row r="46" spans="1:16" x14ac:dyDescent="0.25">
      <c r="A46" s="7">
        <v>45</v>
      </c>
      <c r="B46" s="7" t="s">
        <v>10</v>
      </c>
      <c r="C46" s="7">
        <v>45</v>
      </c>
      <c r="D46" s="7" t="s">
        <v>174</v>
      </c>
      <c r="E46" s="7" t="s">
        <v>175</v>
      </c>
      <c r="F46" s="7" t="s">
        <v>164</v>
      </c>
      <c r="G46" s="7">
        <v>85</v>
      </c>
      <c r="H46" s="7" t="s">
        <v>63</v>
      </c>
      <c r="I46" s="7" t="s">
        <v>44</v>
      </c>
      <c r="J46" s="7">
        <v>923828</v>
      </c>
      <c r="K46" s="8">
        <v>819.24</v>
      </c>
      <c r="L46" s="10" t="s">
        <v>321</v>
      </c>
      <c r="M46" s="10" t="s">
        <v>322</v>
      </c>
      <c r="N46" s="10" t="s">
        <v>323</v>
      </c>
      <c r="O46" s="9"/>
      <c r="P46" s="7"/>
    </row>
    <row r="47" spans="1:16" x14ac:dyDescent="0.25">
      <c r="A47" s="7">
        <v>46</v>
      </c>
      <c r="B47" s="7" t="s">
        <v>10</v>
      </c>
      <c r="C47" s="7">
        <v>46</v>
      </c>
      <c r="D47" s="7" t="s">
        <v>176</v>
      </c>
      <c r="E47" s="7" t="s">
        <v>152</v>
      </c>
      <c r="F47" s="7" t="s">
        <v>43</v>
      </c>
      <c r="G47" s="7">
        <v>84</v>
      </c>
      <c r="H47" s="7" t="s">
        <v>63</v>
      </c>
      <c r="I47" s="7" t="s">
        <v>44</v>
      </c>
      <c r="J47" s="7">
        <v>923813</v>
      </c>
      <c r="K47" s="8">
        <v>680.67</v>
      </c>
      <c r="L47" s="10" t="s">
        <v>324</v>
      </c>
      <c r="M47" s="10" t="s">
        <v>325</v>
      </c>
      <c r="N47" s="10" t="s">
        <v>326</v>
      </c>
      <c r="O47" s="9"/>
      <c r="P47" s="7"/>
    </row>
    <row r="48" spans="1:16" x14ac:dyDescent="0.25">
      <c r="A48" s="7">
        <v>47</v>
      </c>
      <c r="B48" s="7" t="s">
        <v>10</v>
      </c>
      <c r="C48" s="7">
        <v>47</v>
      </c>
      <c r="D48" s="7" t="s">
        <v>177</v>
      </c>
      <c r="E48" s="7" t="s">
        <v>178</v>
      </c>
      <c r="F48" s="7" t="s">
        <v>43</v>
      </c>
      <c r="G48" s="7">
        <v>84</v>
      </c>
      <c r="H48" s="7" t="s">
        <v>63</v>
      </c>
      <c r="I48" s="7" t="s">
        <v>44</v>
      </c>
      <c r="J48" s="7">
        <v>924056</v>
      </c>
      <c r="K48" s="8">
        <v>427.71</v>
      </c>
      <c r="L48" s="10" t="s">
        <v>314</v>
      </c>
      <c r="M48" s="10" t="s">
        <v>327</v>
      </c>
      <c r="N48" s="10" t="s">
        <v>328</v>
      </c>
      <c r="O48" s="9"/>
      <c r="P48" s="7"/>
    </row>
    <row r="49" spans="1:16" x14ac:dyDescent="0.25">
      <c r="A49" s="7">
        <v>48</v>
      </c>
      <c r="B49" s="7" t="s">
        <v>10</v>
      </c>
      <c r="C49" s="7">
        <v>48</v>
      </c>
      <c r="D49" s="7" t="s">
        <v>179</v>
      </c>
      <c r="E49" s="7" t="s">
        <v>180</v>
      </c>
      <c r="F49" s="7" t="s">
        <v>43</v>
      </c>
      <c r="G49" s="7">
        <v>84</v>
      </c>
      <c r="H49" s="7" t="s">
        <v>63</v>
      </c>
      <c r="I49" s="7" t="s">
        <v>44</v>
      </c>
      <c r="J49" s="7">
        <v>924072</v>
      </c>
      <c r="K49" s="8">
        <v>806.22</v>
      </c>
      <c r="L49" s="10" t="s">
        <v>329</v>
      </c>
      <c r="M49" s="10" t="s">
        <v>330</v>
      </c>
      <c r="N49" s="10" t="s">
        <v>331</v>
      </c>
      <c r="O49" s="9"/>
      <c r="P49" s="7"/>
    </row>
    <row r="50" spans="1:16" x14ac:dyDescent="0.25">
      <c r="A50" s="7">
        <v>49</v>
      </c>
      <c r="B50" s="7" t="s">
        <v>10</v>
      </c>
      <c r="C50" s="7">
        <v>49</v>
      </c>
      <c r="D50" s="7" t="s">
        <v>181</v>
      </c>
      <c r="E50" s="7" t="s">
        <v>182</v>
      </c>
      <c r="F50" s="7" t="s">
        <v>43</v>
      </c>
      <c r="G50" s="7">
        <v>79</v>
      </c>
      <c r="H50" s="7" t="s">
        <v>63</v>
      </c>
      <c r="I50" s="7" t="s">
        <v>44</v>
      </c>
      <c r="J50" s="7">
        <v>923979</v>
      </c>
      <c r="K50" s="8">
        <v>617.42999999999995</v>
      </c>
      <c r="L50" s="10" t="s">
        <v>332</v>
      </c>
      <c r="M50" s="10" t="s">
        <v>334</v>
      </c>
      <c r="N50" s="10" t="s">
        <v>335</v>
      </c>
      <c r="O50" s="9"/>
      <c r="P50" s="7"/>
    </row>
    <row r="51" spans="1:16" x14ac:dyDescent="0.25">
      <c r="A51" s="7">
        <v>50</v>
      </c>
      <c r="B51" s="7" t="s">
        <v>10</v>
      </c>
      <c r="C51" s="7">
        <v>50</v>
      </c>
      <c r="D51" s="7" t="s">
        <v>183</v>
      </c>
      <c r="E51" s="7" t="s">
        <v>184</v>
      </c>
      <c r="F51" s="7" t="s">
        <v>43</v>
      </c>
      <c r="G51" s="7">
        <v>74</v>
      </c>
      <c r="H51" s="7" t="s">
        <v>44</v>
      </c>
      <c r="I51" s="7" t="s">
        <v>44</v>
      </c>
      <c r="J51" s="7">
        <v>924045</v>
      </c>
      <c r="K51" s="8">
        <v>492.81</v>
      </c>
      <c r="L51" s="9" t="s">
        <v>185</v>
      </c>
      <c r="M51" s="9" t="s">
        <v>186</v>
      </c>
      <c r="N51" s="9" t="s">
        <v>187</v>
      </c>
      <c r="O51" s="9" t="s">
        <v>188</v>
      </c>
      <c r="P51" s="7"/>
    </row>
    <row r="52" spans="1:16" x14ac:dyDescent="0.25">
      <c r="A52" s="7">
        <v>51</v>
      </c>
      <c r="B52" s="7" t="s">
        <v>10</v>
      </c>
      <c r="C52" s="7">
        <v>51</v>
      </c>
      <c r="D52" s="7" t="s">
        <v>189</v>
      </c>
      <c r="E52" s="7" t="s">
        <v>123</v>
      </c>
      <c r="F52" s="7" t="s">
        <v>43</v>
      </c>
      <c r="G52" s="7">
        <v>72</v>
      </c>
      <c r="H52" s="7" t="s">
        <v>63</v>
      </c>
      <c r="I52" s="7" t="s">
        <v>63</v>
      </c>
      <c r="J52" s="7"/>
      <c r="K52" s="8"/>
      <c r="L52" s="10" t="s">
        <v>382</v>
      </c>
      <c r="M52" s="10" t="s">
        <v>336</v>
      </c>
      <c r="N52" s="10" t="s">
        <v>337</v>
      </c>
      <c r="O52" s="9"/>
      <c r="P52" s="7" t="s">
        <v>145</v>
      </c>
    </row>
    <row r="53" spans="1:16" x14ac:dyDescent="0.25">
      <c r="A53" s="7">
        <v>52</v>
      </c>
      <c r="B53" s="7" t="s">
        <v>10</v>
      </c>
      <c r="C53" s="7">
        <v>52</v>
      </c>
      <c r="D53" s="7" t="s">
        <v>190</v>
      </c>
      <c r="E53" s="7" t="s">
        <v>178</v>
      </c>
      <c r="F53" s="7" t="s">
        <v>43</v>
      </c>
      <c r="G53" s="7">
        <v>71</v>
      </c>
      <c r="H53" s="7" t="s">
        <v>63</v>
      </c>
      <c r="I53" s="7" t="s">
        <v>63</v>
      </c>
      <c r="J53" s="7"/>
      <c r="K53" s="8"/>
      <c r="L53" s="10" t="s">
        <v>383</v>
      </c>
      <c r="M53" s="10" t="s">
        <v>338</v>
      </c>
      <c r="N53" s="10" t="s">
        <v>339</v>
      </c>
      <c r="O53" s="9"/>
      <c r="P53" s="7" t="s">
        <v>145</v>
      </c>
    </row>
    <row r="54" spans="1:16" x14ac:dyDescent="0.25">
      <c r="A54" s="7">
        <v>53</v>
      </c>
      <c r="B54" s="7" t="s">
        <v>10</v>
      </c>
      <c r="C54" s="7">
        <v>53</v>
      </c>
      <c r="D54" s="7" t="s">
        <v>191</v>
      </c>
      <c r="E54" s="7" t="s">
        <v>192</v>
      </c>
      <c r="F54" s="7" t="s">
        <v>164</v>
      </c>
      <c r="G54" s="7">
        <v>67</v>
      </c>
      <c r="H54" s="7" t="s">
        <v>63</v>
      </c>
      <c r="I54" s="7" t="s">
        <v>63</v>
      </c>
      <c r="J54" s="7"/>
      <c r="K54" s="8"/>
      <c r="L54" s="10" t="s">
        <v>384</v>
      </c>
      <c r="M54" s="10" t="s">
        <v>340</v>
      </c>
      <c r="N54" s="10" t="s">
        <v>341</v>
      </c>
      <c r="O54" s="9"/>
      <c r="P54" s="7" t="s">
        <v>145</v>
      </c>
    </row>
    <row r="55" spans="1:16" x14ac:dyDescent="0.25">
      <c r="A55" s="7">
        <v>54</v>
      </c>
      <c r="B55" s="7" t="s">
        <v>10</v>
      </c>
      <c r="C55" s="7">
        <v>54</v>
      </c>
      <c r="D55" s="7" t="s">
        <v>193</v>
      </c>
      <c r="E55" s="7" t="s">
        <v>194</v>
      </c>
      <c r="F55" s="7" t="s">
        <v>43</v>
      </c>
      <c r="G55" s="7">
        <v>65</v>
      </c>
      <c r="H55" s="7" t="s">
        <v>63</v>
      </c>
      <c r="I55" s="7" t="s">
        <v>44</v>
      </c>
      <c r="J55" s="7">
        <v>924052</v>
      </c>
      <c r="K55" s="8">
        <v>483.51</v>
      </c>
      <c r="L55" s="10" t="s">
        <v>342</v>
      </c>
      <c r="M55" s="10" t="s">
        <v>343</v>
      </c>
      <c r="N55" s="10" t="s">
        <v>344</v>
      </c>
      <c r="O55" s="9"/>
      <c r="P55" s="7"/>
    </row>
    <row r="56" spans="1:16" x14ac:dyDescent="0.25">
      <c r="A56" s="7">
        <v>55</v>
      </c>
      <c r="B56" s="7" t="s">
        <v>10</v>
      </c>
      <c r="C56" s="7">
        <v>55</v>
      </c>
      <c r="D56" s="7" t="s">
        <v>195</v>
      </c>
      <c r="E56" s="7" t="s">
        <v>184</v>
      </c>
      <c r="F56" s="7" t="s">
        <v>43</v>
      </c>
      <c r="G56" s="7">
        <v>65</v>
      </c>
      <c r="H56" s="7" t="s">
        <v>63</v>
      </c>
      <c r="I56" s="7" t="s">
        <v>44</v>
      </c>
      <c r="J56" s="7">
        <v>923791</v>
      </c>
      <c r="K56" s="8">
        <v>623.01</v>
      </c>
      <c r="L56" s="10" t="s">
        <v>315</v>
      </c>
      <c r="M56" s="9" t="s">
        <v>348</v>
      </c>
      <c r="N56" s="10" t="s">
        <v>349</v>
      </c>
      <c r="O56" s="9"/>
      <c r="P56" s="7"/>
    </row>
    <row r="57" spans="1:16" x14ac:dyDescent="0.25">
      <c r="A57" s="7">
        <v>56</v>
      </c>
      <c r="B57" s="7" t="s">
        <v>10</v>
      </c>
      <c r="C57" s="7">
        <v>56</v>
      </c>
      <c r="D57" s="7" t="s">
        <v>196</v>
      </c>
      <c r="E57" s="7" t="s">
        <v>197</v>
      </c>
      <c r="F57" s="7" t="s">
        <v>43</v>
      </c>
      <c r="G57" s="7">
        <v>64</v>
      </c>
      <c r="H57" s="7" t="s">
        <v>63</v>
      </c>
      <c r="I57" s="7" t="s">
        <v>44</v>
      </c>
      <c r="J57" s="7">
        <v>923942</v>
      </c>
      <c r="K57" s="8">
        <v>704.85</v>
      </c>
      <c r="L57" s="10" t="s">
        <v>345</v>
      </c>
      <c r="M57" s="10" t="s">
        <v>350</v>
      </c>
      <c r="N57" s="10" t="s">
        <v>351</v>
      </c>
      <c r="O57" s="9"/>
      <c r="P57" s="7"/>
    </row>
    <row r="58" spans="1:16" x14ac:dyDescent="0.25">
      <c r="A58" s="7">
        <v>57</v>
      </c>
      <c r="B58" s="7" t="s">
        <v>10</v>
      </c>
      <c r="C58" s="7">
        <v>57</v>
      </c>
      <c r="D58" s="7" t="s">
        <v>198</v>
      </c>
      <c r="E58" s="7" t="s">
        <v>93</v>
      </c>
      <c r="F58" s="7" t="s">
        <v>43</v>
      </c>
      <c r="G58" s="7">
        <v>63</v>
      </c>
      <c r="H58" s="7" t="s">
        <v>63</v>
      </c>
      <c r="I58" s="7" t="s">
        <v>44</v>
      </c>
      <c r="J58" s="7">
        <v>923977</v>
      </c>
      <c r="K58" s="8">
        <v>627.66</v>
      </c>
      <c r="L58" s="10" t="s">
        <v>346</v>
      </c>
      <c r="M58" s="10" t="s">
        <v>353</v>
      </c>
      <c r="N58" s="10" t="s">
        <v>230</v>
      </c>
      <c r="O58" s="9"/>
      <c r="P58" s="7"/>
    </row>
    <row r="59" spans="1:16" x14ac:dyDescent="0.25">
      <c r="A59" s="7">
        <v>58</v>
      </c>
      <c r="B59" s="7" t="s">
        <v>10</v>
      </c>
      <c r="C59" s="7">
        <v>58</v>
      </c>
      <c r="D59" s="7" t="s">
        <v>199</v>
      </c>
      <c r="E59" s="7" t="s">
        <v>184</v>
      </c>
      <c r="F59" s="7" t="s">
        <v>43</v>
      </c>
      <c r="G59" s="7">
        <v>61</v>
      </c>
      <c r="H59" s="7" t="s">
        <v>63</v>
      </c>
      <c r="I59" s="7" t="s">
        <v>63</v>
      </c>
      <c r="J59" s="7"/>
      <c r="K59" s="8"/>
      <c r="L59" s="10" t="s">
        <v>333</v>
      </c>
      <c r="M59" s="10" t="s">
        <v>354</v>
      </c>
      <c r="N59" s="10" t="s">
        <v>355</v>
      </c>
      <c r="O59" s="9"/>
      <c r="P59" s="7" t="s">
        <v>200</v>
      </c>
    </row>
    <row r="60" spans="1:16" x14ac:dyDescent="0.25">
      <c r="A60" s="7">
        <v>59</v>
      </c>
      <c r="B60" s="7" t="s">
        <v>10</v>
      </c>
      <c r="C60" s="7">
        <v>59</v>
      </c>
      <c r="D60" s="7" t="s">
        <v>201</v>
      </c>
      <c r="E60" s="7" t="s">
        <v>202</v>
      </c>
      <c r="F60" s="7" t="s">
        <v>62</v>
      </c>
      <c r="G60" s="7">
        <v>60</v>
      </c>
      <c r="H60" s="7" t="s">
        <v>63</v>
      </c>
      <c r="I60" s="7" t="s">
        <v>44</v>
      </c>
      <c r="J60" s="7">
        <v>923912</v>
      </c>
      <c r="K60" s="8">
        <v>771.81</v>
      </c>
      <c r="L60" s="10" t="s">
        <v>356</v>
      </c>
      <c r="M60" s="10" t="s">
        <v>357</v>
      </c>
      <c r="N60" s="10" t="s">
        <v>358</v>
      </c>
      <c r="O60" s="9"/>
      <c r="P60" s="7"/>
    </row>
    <row r="61" spans="1:16" x14ac:dyDescent="0.25">
      <c r="A61" s="7">
        <v>60</v>
      </c>
      <c r="B61" s="7" t="s">
        <v>11</v>
      </c>
      <c r="C61" s="7">
        <v>1</v>
      </c>
      <c r="D61" s="7" t="s">
        <v>203</v>
      </c>
      <c r="E61" s="7" t="s">
        <v>163</v>
      </c>
      <c r="F61" s="7" t="s">
        <v>164</v>
      </c>
      <c r="G61" s="7">
        <v>96</v>
      </c>
      <c r="H61" s="7" t="s">
        <v>63</v>
      </c>
      <c r="I61" s="7" t="s">
        <v>63</v>
      </c>
      <c r="J61" s="7"/>
      <c r="K61" s="8"/>
      <c r="L61" s="10" t="s">
        <v>385</v>
      </c>
      <c r="M61" s="10" t="s">
        <v>359</v>
      </c>
      <c r="N61" s="10" t="s">
        <v>167</v>
      </c>
      <c r="O61" s="9"/>
      <c r="P61" s="7" t="s">
        <v>145</v>
      </c>
    </row>
    <row r="62" spans="1:16" x14ac:dyDescent="0.25">
      <c r="A62" s="7">
        <v>61</v>
      </c>
      <c r="B62" s="7" t="s">
        <v>11</v>
      </c>
      <c r="C62" s="7">
        <v>2</v>
      </c>
      <c r="D62" s="7" t="s">
        <v>204</v>
      </c>
      <c r="E62" s="7" t="s">
        <v>205</v>
      </c>
      <c r="F62" s="7" t="s">
        <v>206</v>
      </c>
      <c r="G62" s="7">
        <v>55</v>
      </c>
      <c r="H62" s="7" t="s">
        <v>63</v>
      </c>
      <c r="I62" s="7" t="s">
        <v>63</v>
      </c>
      <c r="J62" s="7"/>
      <c r="K62" s="8"/>
      <c r="L62" s="10" t="s">
        <v>360</v>
      </c>
      <c r="M62" s="10" t="s">
        <v>361</v>
      </c>
      <c r="N62" s="9"/>
      <c r="O62" s="9"/>
      <c r="P62" s="7" t="s">
        <v>207</v>
      </c>
    </row>
    <row r="63" spans="1:16" x14ac:dyDescent="0.25">
      <c r="A63" s="7">
        <v>62</v>
      </c>
      <c r="B63" s="7" t="s">
        <v>11</v>
      </c>
      <c r="C63" s="7">
        <v>3</v>
      </c>
      <c r="D63" s="7" t="s">
        <v>208</v>
      </c>
      <c r="E63" s="7" t="s">
        <v>209</v>
      </c>
      <c r="F63" s="7" t="s">
        <v>164</v>
      </c>
      <c r="G63" s="7">
        <v>49</v>
      </c>
      <c r="H63" s="7" t="s">
        <v>63</v>
      </c>
      <c r="I63" s="7" t="s">
        <v>63</v>
      </c>
      <c r="J63" s="7"/>
      <c r="K63" s="8"/>
      <c r="L63" s="10" t="s">
        <v>386</v>
      </c>
      <c r="M63" s="10" t="s">
        <v>362</v>
      </c>
      <c r="N63" s="10" t="s">
        <v>363</v>
      </c>
      <c r="O63" s="9"/>
      <c r="P63" s="7" t="s">
        <v>145</v>
      </c>
    </row>
    <row r="64" spans="1:16" x14ac:dyDescent="0.25">
      <c r="A64" s="7">
        <v>63</v>
      </c>
      <c r="B64" s="7" t="s">
        <v>11</v>
      </c>
      <c r="C64" s="7">
        <v>4</v>
      </c>
      <c r="D64" s="7" t="s">
        <v>210</v>
      </c>
      <c r="E64" s="7" t="s">
        <v>205</v>
      </c>
      <c r="F64" s="7" t="s">
        <v>206</v>
      </c>
      <c r="G64" s="7">
        <v>47</v>
      </c>
      <c r="H64" s="7" t="s">
        <v>63</v>
      </c>
      <c r="I64" s="7" t="s">
        <v>63</v>
      </c>
      <c r="J64" s="7"/>
      <c r="K64" s="8"/>
      <c r="L64" s="10" t="s">
        <v>364</v>
      </c>
      <c r="M64" s="10" t="s">
        <v>365</v>
      </c>
      <c r="N64" s="9"/>
      <c r="O64" s="9"/>
      <c r="P64" s="7" t="s">
        <v>207</v>
      </c>
    </row>
    <row r="65" spans="1:16" x14ac:dyDescent="0.25">
      <c r="A65" s="7">
        <v>64</v>
      </c>
      <c r="B65" s="7" t="s">
        <v>11</v>
      </c>
      <c r="C65" s="7">
        <v>5</v>
      </c>
      <c r="D65" s="7" t="s">
        <v>211</v>
      </c>
      <c r="E65" s="7" t="s">
        <v>212</v>
      </c>
      <c r="F65" s="7" t="s">
        <v>164</v>
      </c>
      <c r="G65" s="7">
        <v>42</v>
      </c>
      <c r="H65" s="7" t="s">
        <v>63</v>
      </c>
      <c r="I65" s="7" t="s">
        <v>63</v>
      </c>
      <c r="J65" s="7"/>
      <c r="K65" s="8"/>
      <c r="L65" s="10" t="s">
        <v>387</v>
      </c>
      <c r="M65" s="10" t="s">
        <v>367</v>
      </c>
      <c r="N65" s="10" t="s">
        <v>366</v>
      </c>
      <c r="O65" s="9"/>
      <c r="P65" s="7" t="s">
        <v>145</v>
      </c>
    </row>
    <row r="66" spans="1:16" x14ac:dyDescent="0.25">
      <c r="A66" s="7">
        <v>65</v>
      </c>
      <c r="B66" s="7" t="s">
        <v>11</v>
      </c>
      <c r="C66" s="7">
        <v>6</v>
      </c>
      <c r="D66" s="7" t="s">
        <v>213</v>
      </c>
      <c r="E66" s="7" t="s">
        <v>214</v>
      </c>
      <c r="F66" s="7" t="s">
        <v>62</v>
      </c>
      <c r="G66" s="7">
        <v>39</v>
      </c>
      <c r="H66" s="7" t="s">
        <v>63</v>
      </c>
      <c r="I66" s="7" t="s">
        <v>44</v>
      </c>
      <c r="J66" s="7">
        <v>923910</v>
      </c>
      <c r="K66" s="8">
        <v>1053.5999999999999</v>
      </c>
      <c r="L66" s="10" t="s">
        <v>368</v>
      </c>
      <c r="M66" s="10" t="s">
        <v>370</v>
      </c>
      <c r="N66" s="9" t="s">
        <v>369</v>
      </c>
      <c r="O66" s="9"/>
      <c r="P66" s="7"/>
    </row>
    <row r="67" spans="1:16" x14ac:dyDescent="0.25">
      <c r="A67" s="7">
        <v>66</v>
      </c>
      <c r="B67" s="7" t="s">
        <v>11</v>
      </c>
      <c r="C67" s="7">
        <v>7</v>
      </c>
      <c r="D67" s="7" t="s">
        <v>215</v>
      </c>
      <c r="E67" s="7" t="s">
        <v>216</v>
      </c>
      <c r="F67" s="7" t="s">
        <v>206</v>
      </c>
      <c r="G67" s="7">
        <v>35</v>
      </c>
      <c r="H67" s="7" t="s">
        <v>63</v>
      </c>
      <c r="I67" s="7" t="s">
        <v>63</v>
      </c>
      <c r="J67" s="7"/>
      <c r="K67" s="8"/>
      <c r="L67" s="10" t="s">
        <v>371</v>
      </c>
      <c r="M67" s="10" t="s">
        <v>372</v>
      </c>
      <c r="N67" s="9"/>
      <c r="O67" s="9"/>
      <c r="P67" s="7" t="s">
        <v>207</v>
      </c>
    </row>
    <row r="68" spans="1:16" x14ac:dyDescent="0.25">
      <c r="A68" s="7">
        <v>67</v>
      </c>
      <c r="B68" s="7" t="s">
        <v>11</v>
      </c>
      <c r="C68" s="7">
        <v>8</v>
      </c>
      <c r="D68" s="7" t="s">
        <v>217</v>
      </c>
      <c r="E68" s="7" t="s">
        <v>218</v>
      </c>
      <c r="F68" s="7" t="s">
        <v>206</v>
      </c>
      <c r="G68" s="7">
        <v>34</v>
      </c>
      <c r="H68" s="7" t="s">
        <v>63</v>
      </c>
      <c r="I68" s="7" t="s">
        <v>63</v>
      </c>
      <c r="J68" s="7"/>
      <c r="K68" s="8"/>
      <c r="L68" s="10" t="s">
        <v>373</v>
      </c>
      <c r="M68" s="10" t="s">
        <v>374</v>
      </c>
      <c r="N68" s="9"/>
      <c r="O68" s="9"/>
      <c r="P68" s="7" t="s">
        <v>207</v>
      </c>
    </row>
    <row r="69" spans="1:16" x14ac:dyDescent="0.25">
      <c r="A69" s="7">
        <v>68</v>
      </c>
      <c r="B69" s="7" t="s">
        <v>11</v>
      </c>
      <c r="C69" s="7">
        <v>9</v>
      </c>
      <c r="D69" s="7" t="s">
        <v>219</v>
      </c>
      <c r="E69" s="7" t="s">
        <v>202</v>
      </c>
      <c r="F69" s="7" t="s">
        <v>62</v>
      </c>
      <c r="G69" s="7">
        <v>28</v>
      </c>
      <c r="H69" s="7" t="s">
        <v>63</v>
      </c>
      <c r="I69" s="7" t="s">
        <v>44</v>
      </c>
      <c r="J69" s="7">
        <v>924062</v>
      </c>
      <c r="K69" s="8">
        <v>678.81</v>
      </c>
      <c r="L69" s="10" t="s">
        <v>347</v>
      </c>
      <c r="M69" s="10" t="s">
        <v>375</v>
      </c>
      <c r="N69" s="10" t="s">
        <v>376</v>
      </c>
      <c r="O69" s="9"/>
      <c r="P69" s="7"/>
    </row>
    <row r="70" spans="1:16" x14ac:dyDescent="0.25">
      <c r="A70" s="7">
        <v>69</v>
      </c>
      <c r="B70" s="7" t="s">
        <v>11</v>
      </c>
      <c r="C70" s="7">
        <v>10</v>
      </c>
      <c r="D70" s="7" t="s">
        <v>220</v>
      </c>
      <c r="E70" s="7" t="s">
        <v>184</v>
      </c>
      <c r="F70" s="7" t="s">
        <v>43</v>
      </c>
      <c r="G70" s="7">
        <v>27</v>
      </c>
      <c r="H70" s="7" t="s">
        <v>63</v>
      </c>
      <c r="I70" s="7" t="s">
        <v>63</v>
      </c>
      <c r="J70" s="7"/>
      <c r="K70" s="8"/>
      <c r="L70" s="10" t="s">
        <v>377</v>
      </c>
      <c r="M70" s="10" t="s">
        <v>354</v>
      </c>
      <c r="N70" s="10" t="s">
        <v>355</v>
      </c>
      <c r="O70" s="9"/>
      <c r="P70" s="7" t="s">
        <v>200</v>
      </c>
    </row>
    <row r="71" spans="1:16" x14ac:dyDescent="0.25">
      <c r="A71" s="7">
        <v>70</v>
      </c>
      <c r="B71" s="7" t="s">
        <v>11</v>
      </c>
      <c r="C71" s="7">
        <v>11</v>
      </c>
      <c r="D71" s="7" t="s">
        <v>221</v>
      </c>
      <c r="E71" s="7" t="s">
        <v>216</v>
      </c>
      <c r="F71" s="7" t="s">
        <v>206</v>
      </c>
      <c r="G71" s="7">
        <v>24</v>
      </c>
      <c r="H71" s="7" t="s">
        <v>63</v>
      </c>
      <c r="I71" s="7" t="s">
        <v>63</v>
      </c>
      <c r="J71" s="7"/>
      <c r="K71" s="8"/>
      <c r="L71" s="10" t="s">
        <v>378</v>
      </c>
      <c r="M71" s="10" t="s">
        <v>379</v>
      </c>
      <c r="N71" s="9"/>
      <c r="O71" s="9"/>
      <c r="P71" s="7" t="s">
        <v>207</v>
      </c>
    </row>
    <row r="72" spans="1:16" x14ac:dyDescent="0.25">
      <c r="A72" s="7">
        <v>71</v>
      </c>
      <c r="B72" s="7" t="s">
        <v>11</v>
      </c>
      <c r="C72" s="7">
        <v>12</v>
      </c>
      <c r="D72" s="7" t="s">
        <v>222</v>
      </c>
      <c r="E72" s="7" t="s">
        <v>223</v>
      </c>
      <c r="F72" s="7" t="s">
        <v>206</v>
      </c>
      <c r="G72" s="7">
        <v>23</v>
      </c>
      <c r="H72" s="7" t="s">
        <v>63</v>
      </c>
      <c r="I72" s="7" t="s">
        <v>63</v>
      </c>
      <c r="J72" s="7"/>
      <c r="K72" s="8"/>
      <c r="L72" s="9"/>
      <c r="M72" s="9"/>
      <c r="N72" s="9"/>
      <c r="O72" s="9"/>
      <c r="P72" s="7" t="s">
        <v>207</v>
      </c>
    </row>
    <row r="73" spans="1:16" x14ac:dyDescent="0.25">
      <c r="A73" s="7">
        <v>72</v>
      </c>
      <c r="B73" s="7" t="s">
        <v>11</v>
      </c>
      <c r="C73" s="7">
        <v>13</v>
      </c>
      <c r="D73" s="7" t="s">
        <v>224</v>
      </c>
      <c r="E73" s="7" t="s">
        <v>225</v>
      </c>
      <c r="F73" s="7" t="s">
        <v>62</v>
      </c>
      <c r="G73" s="7">
        <v>22</v>
      </c>
      <c r="H73" s="7" t="s">
        <v>63</v>
      </c>
      <c r="I73" s="7" t="s">
        <v>44</v>
      </c>
      <c r="J73" s="7">
        <v>923810</v>
      </c>
      <c r="K73" s="8">
        <v>1311.21</v>
      </c>
      <c r="L73" s="10" t="s">
        <v>352</v>
      </c>
      <c r="M73" s="10" t="s">
        <v>380</v>
      </c>
      <c r="N73" s="10" t="s">
        <v>381</v>
      </c>
      <c r="O73" s="10" t="s">
        <v>381</v>
      </c>
      <c r="P73" s="7"/>
    </row>
  </sheetData>
  <autoFilter ref="A1:P73" xr:uid="{00000000-0009-0000-0000-000002000000}"/>
  <dataValidations count="1">
    <dataValidation type="list" allowBlank="1" sqref="I2:I73" xr:uid="{00000000-0002-0000-0200-000000000000}">
      <formula1>"Sim,Não"</formula1>
      <formula2>0</formula2>
    </dataValidation>
  </dataValidations>
  <hyperlinks>
    <hyperlink ref="M5" r:id="rId1" xr:uid="{971180DA-1C9E-4D05-B1A1-CE024115C1EE}"/>
    <hyperlink ref="N5" r:id="rId2" xr:uid="{F89DCECD-38EF-4752-9BBA-0C7C7219A836}"/>
    <hyperlink ref="L5" r:id="rId3" xr:uid="{07506BFC-CE8F-4738-9A51-8B994E33B404}"/>
    <hyperlink ref="M6" r:id="rId4" xr:uid="{832A009E-8361-46E3-81DC-03C9FA06F4B4}"/>
    <hyperlink ref="N6" r:id="rId5" xr:uid="{DC5EA182-D1BF-489E-8004-F4411F34D1C8}"/>
    <hyperlink ref="L6" r:id="rId6" xr:uid="{EB8BB120-E0BC-4603-AF63-3F8E418B0729}"/>
    <hyperlink ref="M10" r:id="rId7" xr:uid="{2A998D4D-23CE-44E9-B769-F7FE905FB6F3}"/>
    <hyperlink ref="L10" r:id="rId8" xr:uid="{10B5CEF3-EC56-4C49-AD63-A48AC9F21B4E}"/>
    <hyperlink ref="N10" r:id="rId9" xr:uid="{D77105E3-313A-4449-951C-D85B94A4C9A7}"/>
    <hyperlink ref="L11" r:id="rId10" xr:uid="{781A0A49-7740-436D-BADC-BEB77A87BA66}"/>
    <hyperlink ref="M11" r:id="rId11" xr:uid="{9B29500F-3305-43CC-9906-27BECAB26B97}"/>
    <hyperlink ref="N11" r:id="rId12" xr:uid="{B434CEF8-7A5A-4242-838D-D988029E5CCC}"/>
    <hyperlink ref="L12" r:id="rId13" xr:uid="{75D44F67-51BD-4D4E-903A-D09E2EF3240B}"/>
    <hyperlink ref="M12" r:id="rId14" xr:uid="{9B812B1F-241A-47B2-AA0C-BEB5FFAFEB2D}"/>
    <hyperlink ref="N12" r:id="rId15" xr:uid="{DCAE020D-2F1B-4DEE-9A25-1E045C19EC86}"/>
    <hyperlink ref="L13" r:id="rId16" xr:uid="{1C46A5B9-7903-4545-ABFE-7D9836C05ADA}"/>
    <hyperlink ref="M13" r:id="rId17" xr:uid="{07F7E915-59EF-43C4-9691-E57814242262}"/>
    <hyperlink ref="N13" r:id="rId18" xr:uid="{625088D4-23F3-486F-8DE8-703E9320FC41}"/>
    <hyperlink ref="L16" r:id="rId19" xr:uid="{E6D59606-5E6B-47DF-BAC0-39A4F8060A1C}"/>
    <hyperlink ref="M16" r:id="rId20" xr:uid="{015632DF-87FC-444C-8001-80C97AF62F21}"/>
    <hyperlink ref="N16" r:id="rId21" xr:uid="{392B8413-2F2F-4355-8157-38FDF27D3C6F}"/>
    <hyperlink ref="L19" r:id="rId22" xr:uid="{BD5847C5-5FB3-4579-A7A9-AB2195892ABA}"/>
    <hyperlink ref="M19" r:id="rId23" xr:uid="{EA2469CF-6D20-441F-8D97-73CA6F280822}"/>
    <hyperlink ref="N19" r:id="rId24" xr:uid="{0511C7F8-F095-4E22-AF43-F1355745A3F4}"/>
    <hyperlink ref="L20" r:id="rId25" xr:uid="{178ED1EE-D0A7-4D2B-BBD0-1C03BCBFF412}"/>
    <hyperlink ref="M20" r:id="rId26" xr:uid="{F1E7B3D9-2E78-4830-AB14-E37465584806}"/>
    <hyperlink ref="N20" r:id="rId27" xr:uid="{5B43036C-2CE9-4EEB-ABF2-579BAE4B52A1}"/>
    <hyperlink ref="L21" r:id="rId28" xr:uid="{686E7A41-F2DA-40C6-A8DA-7E273005CEE0}"/>
    <hyperlink ref="M21" r:id="rId29" xr:uid="{E6E66C6B-546B-4388-84B4-C998AAF439CB}"/>
    <hyperlink ref="N21" r:id="rId30" xr:uid="{7956E5B5-CA00-4EC8-8179-D86FD951A60C}"/>
    <hyperlink ref="L22" r:id="rId31" xr:uid="{1F1256F6-9F0F-4769-99E8-87755A5F65C2}"/>
    <hyperlink ref="M22" r:id="rId32" xr:uid="{6E4CE6D4-C6D4-4CE3-A6EA-4BFC12CE0C00}"/>
    <hyperlink ref="N22" r:id="rId33" xr:uid="{791EC4AA-8F11-497B-AEA6-F3562A2CCEFF}"/>
    <hyperlink ref="L23" r:id="rId34" xr:uid="{11A7CA27-5BEB-4192-B8BA-1BFCD1202BEB}"/>
    <hyperlink ref="M23" r:id="rId35" xr:uid="{A9DBF424-8084-4D37-8837-6E37D42C8E5C}"/>
    <hyperlink ref="N23" r:id="rId36" xr:uid="{67C2DD44-32B7-4F80-8EF7-0902344B5D21}"/>
    <hyperlink ref="L25" r:id="rId37" xr:uid="{019913A2-CBCF-4794-B2FA-E3C184360CC6}"/>
    <hyperlink ref="M25" r:id="rId38" xr:uid="{284C5B81-D9C3-4B60-92B2-3083EBDA3387}"/>
    <hyperlink ref="N25" r:id="rId39" xr:uid="{3F8DC4CF-77D1-4693-B9F3-A36DCBA71D78}"/>
    <hyperlink ref="L27" r:id="rId40" xr:uid="{53B2CC58-380F-42D2-835A-F9486ED83DC4}"/>
    <hyperlink ref="M27" r:id="rId41" xr:uid="{A7D78DD7-BE2A-401E-BE5F-4D8CF619C72B}"/>
    <hyperlink ref="N27" r:id="rId42" xr:uid="{533A3C7B-9826-4BD4-8426-5C6A3A54E53B}"/>
    <hyperlink ref="L28" r:id="rId43" xr:uid="{2D658C82-20A4-4BCA-B851-1EFDC323D054}"/>
    <hyperlink ref="M28" r:id="rId44" xr:uid="{FE1B4BD4-C159-4EA6-A490-43E09818C809}"/>
    <hyperlink ref="N28" r:id="rId45" xr:uid="{05A03CC7-6973-4E65-AD7E-026ADEEE6471}"/>
    <hyperlink ref="O29" r:id="rId46" xr:uid="{6512E369-B617-4AD2-A405-FA41A17A5B50}"/>
    <hyperlink ref="O30" r:id="rId47" xr:uid="{4089A308-3ABC-41EF-A08A-91AE9B113297}"/>
    <hyperlink ref="O31" r:id="rId48" xr:uid="{D8DD9833-1A94-46D2-AA03-0690DBAC1DF3}"/>
    <hyperlink ref="O32" r:id="rId49" xr:uid="{CFC471AE-E797-4450-8153-96AF90631A25}"/>
    <hyperlink ref="L29" r:id="rId50" xr:uid="{77367E1A-A15F-4270-8C9C-FBF2715CF7A8}"/>
    <hyperlink ref="L30" r:id="rId51" xr:uid="{C05B0472-B568-43EB-BB0D-BE902EB6C797}"/>
    <hyperlink ref="L31" r:id="rId52" xr:uid="{FAAAFAC2-74D5-477A-9A65-EF8ABECF517E}"/>
    <hyperlink ref="L32" r:id="rId53" xr:uid="{6324004D-8E8A-45A5-A0A2-584339DCC539}"/>
    <hyperlink ref="L33" r:id="rId54" xr:uid="{B6C4B036-D62E-4841-95AF-6FCD694DC439}"/>
    <hyperlink ref="M29" r:id="rId55" xr:uid="{51FD4B5C-DB71-4633-87DC-59B30530CE77}"/>
    <hyperlink ref="M30" r:id="rId56" xr:uid="{E46C9015-3303-4225-A921-FDAEEC0595D3}"/>
    <hyperlink ref="M31" r:id="rId57" xr:uid="{3CA8D352-D07E-4338-8062-824A51FFCD80}"/>
    <hyperlink ref="M32" r:id="rId58" xr:uid="{4930696A-0F51-4C11-8A4F-ED59C27A0AE7}"/>
    <hyperlink ref="N29" r:id="rId59" xr:uid="{8D79FF27-53BF-4377-98BD-0996F8D1DD05}"/>
    <hyperlink ref="N30" r:id="rId60" xr:uid="{8E180CB3-42F4-4BA7-A40F-578ED23F65D6}"/>
    <hyperlink ref="N31" r:id="rId61" xr:uid="{79E134FC-FDF5-461C-88FF-CCC136A34DCE}"/>
    <hyperlink ref="N32" r:id="rId62" xr:uid="{32258384-BB8D-4C14-A385-D63C7C351F01}"/>
    <hyperlink ref="M33" r:id="rId63" xr:uid="{00F63161-4D64-4ACE-A52C-179882DF2A1E}"/>
    <hyperlink ref="N33" r:id="rId64" xr:uid="{7485497D-9A21-41CE-B41F-5259D972B740}"/>
    <hyperlink ref="L34" r:id="rId65" xr:uid="{696B94D6-FAE2-43DD-BEA4-8E8C79E2E09F}"/>
    <hyperlink ref="M34" r:id="rId66" xr:uid="{897FD480-971E-40AB-953C-6A9C56A5CC32}"/>
    <hyperlink ref="N34" r:id="rId67" xr:uid="{3155C08B-DD27-4044-97DA-714F214491D2}"/>
    <hyperlink ref="L35" r:id="rId68" xr:uid="{1CAB698F-1CFD-4A8D-817E-6ABC932D6E8C}"/>
    <hyperlink ref="M35" r:id="rId69" xr:uid="{39A09C09-3EF8-4C89-AA2D-D1FBD082B735}"/>
    <hyperlink ref="N35" r:id="rId70" xr:uid="{BC9727DE-223C-4F04-BE74-C01755802219}"/>
    <hyperlink ref="L36" r:id="rId71" xr:uid="{1601F5D8-7B24-42CF-BD4C-73DCB1754226}"/>
    <hyperlink ref="M36" r:id="rId72" xr:uid="{C6B88EBA-FA0F-4EB6-8F22-2F51BBE0FABC}"/>
    <hyperlink ref="N36" r:id="rId73" xr:uid="{1B5C3CFC-95ED-420B-83EB-67096F097DFD}"/>
    <hyperlink ref="O37" r:id="rId74" xr:uid="{1BD87BA4-7424-42CD-8A61-B9D6FB29313A}"/>
    <hyperlink ref="L37" r:id="rId75" display="https://www.acheipneus.com.br/pneu-195-55-r15-efficientgrip-performance-85h-goodyear-original-fox-polo-p988163" xr:uid="{8CAC648E-FBD9-4805-8251-892C1540F118}"/>
    <hyperlink ref="L38" r:id="rId76" xr:uid="{4CA6550C-28CE-4B6B-AA3F-C40A4656F8BF}"/>
    <hyperlink ref="N38" r:id="rId77" xr:uid="{76A2B090-2A14-45BB-8136-C488CB724932}"/>
    <hyperlink ref="M38" r:id="rId78" xr:uid="{C27C59DC-B736-4500-886A-C533F47ECA82}"/>
    <hyperlink ref="L39" r:id="rId79" xr:uid="{57A9F7C0-D8BC-46A4-A592-98ACBCFC756A}"/>
    <hyperlink ref="N39" r:id="rId80" xr:uid="{3CCB1BAD-C068-48EE-9D31-9D92D9B98743}"/>
    <hyperlink ref="M39" r:id="rId81" xr:uid="{46CD7A10-9D1B-46A3-9387-A890D07EFF64}"/>
    <hyperlink ref="L40" r:id="rId82" xr:uid="{227BF320-BEBA-40D5-9A52-BD2F8B590D97}"/>
    <hyperlink ref="M40" r:id="rId83" xr:uid="{11F3E738-1A19-4234-AC1B-0A389654BCF1}"/>
    <hyperlink ref="N40" r:id="rId84" xr:uid="{5CF5A233-0461-48A9-AE51-C56AF516578D}"/>
    <hyperlink ref="L41" r:id="rId85" xr:uid="{B8AE20AF-C212-46A1-A1CE-47618838658D}"/>
    <hyperlink ref="M41" r:id="rId86" xr:uid="{4A1B5906-D6FD-45ED-A7B2-B665AB136697}"/>
    <hyperlink ref="N41" r:id="rId87" xr:uid="{B3E16BAF-155C-4135-BFFD-B1E233C49A87}"/>
    <hyperlink ref="L43" r:id="rId88" xr:uid="{D9698235-560E-4717-BD71-C5029570B29B}"/>
    <hyperlink ref="M43" r:id="rId89" xr:uid="{23AFE68A-C445-4B57-B781-30D3C7FE2A30}"/>
    <hyperlink ref="N43" r:id="rId90" xr:uid="{305A0707-628B-4B5B-A1A8-52F032823023}"/>
    <hyperlink ref="L44" r:id="rId91" xr:uid="{B77FBD58-45C6-4CBC-B365-FDDC1DE5A8D4}"/>
    <hyperlink ref="M44" r:id="rId92" xr:uid="{7DF28998-1FF7-45EE-9642-3BC5E6501C75}"/>
    <hyperlink ref="N44" r:id="rId93" xr:uid="{34D32F1F-2A2D-4132-ADBD-D3FCE4E85BFF}"/>
    <hyperlink ref="L45" r:id="rId94" xr:uid="{69CF213B-89E0-457E-981D-5643ABCE1CDB}"/>
    <hyperlink ref="M45" r:id="rId95" xr:uid="{94D8C29B-59D4-4065-A26A-AE8F2DC56E03}"/>
    <hyperlink ref="N45" r:id="rId96" xr:uid="{DCABBC30-281D-44D2-B3F8-EC887A07FB35}"/>
    <hyperlink ref="L46" r:id="rId97" xr:uid="{6E95960F-27A8-43AE-93E3-93AC315FCD92}"/>
    <hyperlink ref="M46" r:id="rId98" xr:uid="{91F438F9-D486-4224-92C7-515001D5D78C}"/>
    <hyperlink ref="N46" r:id="rId99" xr:uid="{9830087A-8BB9-4873-A50A-A63F0182F5C7}"/>
    <hyperlink ref="L47" r:id="rId100" xr:uid="{3E9E4940-6A4B-4251-8964-6567E8E0A97F}"/>
    <hyperlink ref="M47" r:id="rId101" xr:uid="{3EB4AD60-A2FA-4CBD-9321-82366C21CE6F}"/>
    <hyperlink ref="N47" r:id="rId102" xr:uid="{059BBF1F-7E7D-4FAC-8891-4D5A16075D78}"/>
    <hyperlink ref="L48" r:id="rId103" xr:uid="{E48A6575-CE31-4A90-8EFC-0EC1BECA8A7E}"/>
    <hyperlink ref="M48" r:id="rId104" xr:uid="{9D3A74CC-368F-4D7E-A48F-5554DEC34F23}"/>
    <hyperlink ref="N48" r:id="rId105" xr:uid="{A8D545D8-6CDE-43D6-B98C-C71B65E5AA4C}"/>
    <hyperlink ref="L49" r:id="rId106" xr:uid="{E177C52D-E589-40C9-83EF-8E5F9E915035}"/>
    <hyperlink ref="M49" r:id="rId107" xr:uid="{5C779918-1A26-438A-9DF8-EE6AD664D302}"/>
    <hyperlink ref="N49" r:id="rId108" xr:uid="{80576677-4AEE-4721-A952-BF205C07C487}"/>
    <hyperlink ref="L50" r:id="rId109" xr:uid="{9816BB4A-657A-453F-A7C9-32A1E6C0D19B}"/>
    <hyperlink ref="M50" r:id="rId110" xr:uid="{35EA653A-D269-46B6-B631-E7C29A54E17B}"/>
    <hyperlink ref="N50" r:id="rId111" xr:uid="{6AF06F2D-1E0F-42B6-9B77-B065777C44D4}"/>
    <hyperlink ref="M52" r:id="rId112" xr:uid="{52CEC230-1198-4002-912E-65365658ED8C}"/>
    <hyperlink ref="N52" r:id="rId113" xr:uid="{74EF790E-5A60-4D3D-AECA-1FB546C2F8A3}"/>
    <hyperlink ref="M53" r:id="rId114" xr:uid="{530DB2C5-3A2A-4811-8BF3-8E9C6D2F9F29}"/>
    <hyperlink ref="N53" r:id="rId115" xr:uid="{F33BBFF1-4C97-4055-AA8B-0CFE018CB5EF}"/>
    <hyperlink ref="M54" r:id="rId116" xr:uid="{725A998A-CD13-4E4D-BAAA-59337C29E8E7}"/>
    <hyperlink ref="N54" r:id="rId117" xr:uid="{30F36CFC-EA9D-40B3-AB79-A773BBC91952}"/>
    <hyperlink ref="L55" r:id="rId118" xr:uid="{9853B50B-1FE9-44E4-AE58-240D8D4D3B0F}"/>
    <hyperlink ref="M55" r:id="rId119" xr:uid="{97720C43-C08E-4B6A-B54D-61FAD15B6090}"/>
    <hyperlink ref="N55" r:id="rId120" xr:uid="{439F3294-38DA-46D8-B840-3A7C789619A7}"/>
    <hyperlink ref="L56" r:id="rId121" xr:uid="{AFB65B0C-569D-4323-A930-FA926B20B68B}"/>
    <hyperlink ref="N56" r:id="rId122" xr:uid="{AC5AED6C-1466-4788-BB9D-BFDC34956059}"/>
    <hyperlink ref="L57" r:id="rId123" xr:uid="{773C9513-A2AC-4985-8927-F9BD5C35345B}"/>
    <hyperlink ref="M57" r:id="rId124" xr:uid="{DCC41C73-B66B-46A7-B21E-62D8C4543CBF}"/>
    <hyperlink ref="N57" r:id="rId125" xr:uid="{189B7858-49F4-4F71-96D3-B4D372F11942}"/>
    <hyperlink ref="L58" r:id="rId126" xr:uid="{FC6568F2-A0D5-4492-8FAF-D36644FE3004}"/>
    <hyperlink ref="M58" r:id="rId127" xr:uid="{F1E3E183-EB7B-4485-988F-B338C0C0F3A3}"/>
    <hyperlink ref="N58" r:id="rId128" xr:uid="{D37B0318-573E-4DF1-AE15-7ECFBF98D0DF}"/>
    <hyperlink ref="L59" r:id="rId129" xr:uid="{06BE8CE0-435C-454C-BCF6-D112666BC667}"/>
    <hyperlink ref="M59" r:id="rId130" xr:uid="{B2F11794-3801-44D7-9C56-D5530130D474}"/>
    <hyperlink ref="N59" r:id="rId131" xr:uid="{7BE25AF9-A93A-4C8C-B0AF-3657A8067B14}"/>
    <hyperlink ref="L60" r:id="rId132" xr:uid="{F16B55DB-BFBE-4A3D-9354-FE4735BE3B5B}"/>
    <hyperlink ref="M60" r:id="rId133" xr:uid="{C8E8E8A1-C9CF-4AAB-87A7-B3D434109550}"/>
    <hyperlink ref="N60" r:id="rId134" xr:uid="{E7E7066F-3FA4-44D7-896F-404D41A1F891}"/>
    <hyperlink ref="N61" r:id="rId135" xr:uid="{F6859165-10AF-4DAB-BCC5-C02CAA0E2C35}"/>
    <hyperlink ref="M61" r:id="rId136" xr:uid="{13B5021F-D026-45A2-9AEC-2740CC15D3D4}"/>
    <hyperlink ref="L62" r:id="rId137" xr:uid="{39B3C1A3-7E54-4DE8-8B38-D017BB5B9D21}"/>
    <hyperlink ref="M62" r:id="rId138" xr:uid="{22B2D5F7-A367-4084-A4C7-9DB616C2C165}"/>
    <hyperlink ref="M63" r:id="rId139" xr:uid="{FFDC06F9-3F0E-4084-9BC7-58C58BFAB82B}"/>
    <hyperlink ref="N63" r:id="rId140" xr:uid="{1D1D568E-9F26-46A8-8DB3-C4FFDF315D9F}"/>
    <hyperlink ref="L64" r:id="rId141" xr:uid="{6A716FF3-91BA-462A-A31D-9B017E2CFD53}"/>
    <hyperlink ref="M64" r:id="rId142" xr:uid="{47AF9063-9E71-475F-B66D-98CA499BF5A2}"/>
    <hyperlink ref="N65" r:id="rId143" xr:uid="{C5B73633-D52E-43C7-A601-EE74A4817004}"/>
    <hyperlink ref="M65" r:id="rId144" xr:uid="{53D0E743-4B77-4667-B099-6596F30D1F5F}"/>
    <hyperlink ref="L66" r:id="rId145" xr:uid="{CA46DD2D-1CF1-4DF5-BA7E-56A73BE642CD}"/>
    <hyperlink ref="M66" r:id="rId146" xr:uid="{F19F79EA-5AF0-4B34-A746-9198FA51B64C}"/>
    <hyperlink ref="L67" r:id="rId147" xr:uid="{B3FECC80-1F7F-402A-A56C-F40A7EA0A56F}"/>
    <hyperlink ref="M67" r:id="rId148" xr:uid="{9C4E09B3-538A-4292-92CA-90C41DD965D1}"/>
    <hyperlink ref="L68" r:id="rId149" xr:uid="{6C8A7E73-22BF-4E8F-8B20-5CF6143C5CD0}"/>
    <hyperlink ref="M68" r:id="rId150" xr:uid="{48A7D542-2731-46ED-ABE8-704B45F1457B}"/>
    <hyperlink ref="L69" r:id="rId151" xr:uid="{AAA3AA9E-F7A7-428B-A7F6-40051724BB64}"/>
    <hyperlink ref="M69" r:id="rId152" xr:uid="{15B699D8-6868-4D6F-AEAE-6878F37F243F}"/>
    <hyperlink ref="N69" r:id="rId153" xr:uid="{2CE7AE54-F4ED-4EAF-ABAC-416C124857CC}"/>
    <hyperlink ref="L70" r:id="rId154" xr:uid="{A702C0F0-4A14-4028-BCB4-E47B256A45AF}"/>
    <hyperlink ref="M70" r:id="rId155" xr:uid="{CD9CCCE8-A5C4-4903-9FF3-F4DD82ED3599}"/>
    <hyperlink ref="N70" r:id="rId156" xr:uid="{F8BB970E-E3B4-4D52-A800-DB9001C3A4C3}"/>
    <hyperlink ref="L71" r:id="rId157" xr:uid="{EBFED138-3D53-4433-81FE-A1779EABBE7F}"/>
    <hyperlink ref="M71" r:id="rId158" xr:uid="{B5E52417-C932-45CC-845A-052F4ED1D7E6}"/>
    <hyperlink ref="O73" r:id="rId159" xr:uid="{9DA70581-8B13-44BA-AC79-11F1946D237C}"/>
    <hyperlink ref="L52" r:id="rId160" xr:uid="{DBE15EF2-6C0A-4186-976F-1EADD038AE2C}"/>
    <hyperlink ref="L53" r:id="rId161" xr:uid="{0F54B4F0-1551-4D8B-B1B1-9E6E592055B8}"/>
    <hyperlink ref="L54" r:id="rId162" xr:uid="{10F44F04-2E5F-43A5-8900-67EA7EC564D2}"/>
    <hyperlink ref="L61" r:id="rId163" xr:uid="{8B659DC2-7D92-42B5-A3DC-B544B0968A2F}"/>
    <hyperlink ref="L63" r:id="rId164" xr:uid="{FE7306F8-222B-4C75-8839-36FDD403D9EC}"/>
    <hyperlink ref="L65" r:id="rId165" xr:uid="{86CFF005-D44E-416B-8B4C-4414A3D97B9C}"/>
    <hyperlink ref="L73" r:id="rId166" display="https://www.acheipneus.com.br/pneu-235-55r18-efficientgrip-suv-104v-goodyear-p988678" xr:uid="{719B8372-A90C-408E-8F4F-410E795BE82F}"/>
    <hyperlink ref="M73" r:id="rId167" display="https://romapneus.com.br/185-70r14-assurance-maxlife-88h-sl" xr:uid="{F5AD7290-43BD-4CD6-B5C1-A32880AEE1BF}"/>
    <hyperlink ref="N73" r:id="rId168" display="https://romapneus.com.br/185-65r14-assurance-maxlife-86h-sl" xr:uid="{5B5A6524-4F35-4057-92F8-0BC5C0DA1537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Como preencher</vt:lpstr>
      <vt:lpstr>Resumo</vt:lpstr>
      <vt:lpstr>Itens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Lucas Cruz</cp:lastModifiedBy>
  <cp:revision>0</cp:revision>
  <dcterms:created xsi:type="dcterms:W3CDTF">2026-10-20T15:08:13Z</dcterms:created>
  <dcterms:modified xsi:type="dcterms:W3CDTF">2026-10-21T19:25:12Z</dcterms:modified>
  <dc:language>en-US</dc:language>
</cp:coreProperties>
</file>